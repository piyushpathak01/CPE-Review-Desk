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Review" sheetId="3" state="visible" r:id="rId3"/>
    <sheet xmlns:r="http://schemas.openxmlformats.org/officeDocument/2006/relationships" name="Credit Calculator" sheetId="4" state="visible" r:id="rId4"/>
    <sheet xmlns:r="http://schemas.openxmlformats.org/officeDocument/2006/relationships" name="SLA Monitor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Certificates" sheetId="7" state="visible" r:id="rId7"/>
    <sheet xmlns:r="http://schemas.openxmlformats.org/officeDocument/2006/relationships" name="Email Templates" sheetId="8" state="visible" r:id="rId8"/>
    <sheet xmlns:r="http://schemas.openxmlformats.org/officeDocument/2006/relationships" name="Test Cases" sheetId="9" state="visible" r:id="rId9"/>
    <sheet xmlns:r="http://schemas.openxmlformats.org/officeDocument/2006/relationships" name="SOP" sheetId="10" state="visible" r:id="rId10"/>
  </sheets>
  <definedNames>
    <definedName name="_xlnm._FilterDatabase" localSheetId="0" hidden="1">'Requests'!$A$1:$O$101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0.0"/>
    <numFmt numFmtId="167" formatCode="0.0%"/>
  </numFmts>
  <fonts count="1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2"/>
    </font>
    <font>
      <b val="1"/>
      <color rgb="001F3864"/>
      <sz val="10"/>
    </font>
    <font>
      <b val="1"/>
      <sz val="11"/>
    </font>
    <font>
      <b val="1"/>
      <color rgb="00FFFFFF"/>
      <sz val="10"/>
    </font>
    <font>
      <b val="1"/>
      <color rgb="001F3864"/>
    </font>
    <font>
      <b val="1"/>
      <color rgb="00FFFFFF"/>
      <sz val="13"/>
    </font>
    <font>
      <b val="1"/>
      <color rgb="001F3864"/>
      <sz val="11"/>
    </font>
    <font>
      <b val="1"/>
      <color rgb="001F3864"/>
      <sz val="20"/>
    </font>
    <font>
      <i val="1"/>
      <color rgb="00595959"/>
    </font>
    <font>
      <b val="1"/>
    </font>
    <font>
      <i val="1"/>
      <color rgb="001F3864"/>
    </font>
    <font>
      <b val="1"/>
      <color rgb="00FFFFFF"/>
      <sz val="14"/>
    </font>
    <font>
      <b val="1"/>
      <color rgb="00375623"/>
    </font>
    <font>
      <b val="1"/>
      <color rgb="00FFFFFF"/>
      <sz val="16"/>
    </font>
    <font>
      <i val="1"/>
      <color rgb="00595959"/>
      <sz val="10"/>
    </font>
    <font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FFFF99"/>
      </patternFill>
    </fill>
    <fill>
      <patternFill patternType="solid">
        <fgColor rgb="002E75B6"/>
      </patternFill>
    </fill>
    <fill>
      <patternFill patternType="solid">
        <fgColor rgb="00FF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5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165" fontId="0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65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1" pivotButton="0" quotePrefix="0" xfId="0"/>
    <xf numFmtId="166" fontId="6" fillId="0" borderId="1" pivotButton="0" quotePrefix="0" xfId="0"/>
    <xf numFmtId="0" fontId="12" fillId="7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wrapText="1"/>
    </xf>
    <xf numFmtId="0" fontId="15" fillId="2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wrapText="1"/>
    </xf>
  </cellXfs>
  <cellStyles count="1">
    <cellStyle name="Normal" xfId="0" builtinId="0" hidden="0"/>
  </cellStyles>
  <dxfs count="7"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ont>
        <b val="1"/>
        <color rgb="00FF0000"/>
      </font>
      <fill>
        <patternFill patternType="solid">
          <fgColor rgb="00FFD9D9"/>
        </patternFill>
      </fill>
    </dxf>
    <dxf>
      <font>
        <b val="1"/>
        <color rgb="00FF6600"/>
      </font>
      <fill>
        <patternFill patternType="solid">
          <fgColor rgb="00FFF2CC"/>
        </patternFill>
      </fill>
    </dxf>
    <dxf>
      <font>
        <b val="1"/>
        <color rgb="00375623"/>
      </font>
      <fill>
        <patternFill patternType="solid">
          <fgColor rgb="00E2EFDA"/>
        </patternFill>
      </fill>
    </dxf>
    <dxf>
      <fill>
        <patternFill patternType="solid">
          <fgColor rgb="00FF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by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'Dashboard'!$A$9:$A$12</f>
            </numRef>
          </cat>
          <val>
            <numRef>
              <f>'Dashboard'!$B$9:$B$12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Rejection Reasons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'Dashboard'!$A$16:$A$20</f>
            </numRef>
          </cat>
          <val>
            <numRef>
              <f>'Dashboard'!$B$16:$B$20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13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8" customWidth="1" min="4" max="4"/>
    <col width="19" customWidth="1" min="5" max="5"/>
    <col width="18" customWidth="1" min="6" max="6"/>
    <col width="26" customWidth="1" min="7" max="7"/>
    <col width="17" customWidth="1" min="8" max="8"/>
    <col width="23" customWidth="1" min="9" max="9"/>
    <col width="21" customWidth="1" min="10" max="10"/>
    <col width="20" customWidth="1" min="11" max="11"/>
    <col width="17" customWidth="1" min="12" max="12"/>
    <col width="16" customWidth="1" min="13" max="13"/>
    <col width="20" customWidth="1" min="14" max="14"/>
    <col width="20" customWidth="1" min="15" max="15"/>
  </cols>
  <sheetData>
    <row r="1">
      <c r="A1" s="1" t="inlineStr">
        <is>
          <t>Request ID</t>
        </is>
      </c>
      <c r="B1" s="1" t="inlineStr">
        <is>
          <t>Course Title</t>
        </is>
      </c>
      <c r="C1" s="1" t="inlineStr">
        <is>
          <t>Instructor</t>
        </is>
      </c>
      <c r="D1" s="1" t="inlineStr">
        <is>
          <t>Submitted Date</t>
        </is>
      </c>
      <c r="E1" s="1" t="inlineStr">
        <is>
          <t>Delivery Method</t>
        </is>
      </c>
      <c r="F1" s="1" t="inlineStr">
        <is>
          <t>Duration (min)</t>
        </is>
      </c>
      <c r="G1" s="1" t="inlineStr">
        <is>
          <t>Field of Study</t>
        </is>
      </c>
      <c r="H1" s="1" t="inlineStr">
        <is>
          <t>Program Level</t>
        </is>
      </c>
      <c r="I1" s="1" t="inlineStr">
        <is>
          <t>Learning Objectives</t>
        </is>
      </c>
      <c r="J1" s="1" t="inlineStr">
        <is>
          <t>Attendance Checks</t>
        </is>
      </c>
      <c r="K1" s="1" t="inlineStr">
        <is>
          <t>Review Questions</t>
        </is>
      </c>
      <c r="L1" s="1" t="inlineStr">
        <is>
          <t>Prerequisites</t>
        </is>
      </c>
      <c r="M1" s="1" t="inlineStr">
        <is>
          <t>SLA Due Date</t>
        </is>
      </c>
      <c r="N1" s="1" t="inlineStr">
        <is>
          <t>Reviewer</t>
        </is>
      </c>
      <c r="O1" s="1" t="inlineStr">
        <is>
          <t>Status</t>
        </is>
      </c>
    </row>
    <row r="2">
      <c r="A2" s="2" t="inlineStr">
        <is>
          <t>CPE-2026-001</t>
        </is>
      </c>
      <c r="B2" s="2" t="inlineStr">
        <is>
          <t>Mastering Blockchain in Accounting</t>
        </is>
      </c>
      <c r="C2" s="2" t="inlineStr">
        <is>
          <t>Karen Li</t>
        </is>
      </c>
      <c r="D2" s="3" t="n">
        <v>46279</v>
      </c>
      <c r="E2" s="2" t="inlineStr">
        <is>
          <t>Self-study</t>
        </is>
      </c>
      <c r="F2" s="2" t="n">
        <v>140</v>
      </c>
      <c r="G2" s="2" t="inlineStr">
        <is>
          <t>Economics</t>
        </is>
      </c>
      <c r="H2" s="2" t="inlineStr">
        <is>
          <t>Basic</t>
        </is>
      </c>
      <c r="I2" s="2" t="n">
        <v>9</v>
      </c>
      <c r="J2" s="2" t="n">
        <v>0</v>
      </c>
      <c r="K2" s="2" t="n">
        <v>8</v>
      </c>
      <c r="L2" s="2" t="inlineStr">
        <is>
          <t>N</t>
        </is>
      </c>
      <c r="M2" s="3" t="n">
        <v>46284</v>
      </c>
      <c r="N2" s="2" t="inlineStr">
        <is>
          <t>CPE Desk - Omar</t>
        </is>
      </c>
      <c r="O2" s="2" t="inlineStr">
        <is>
          <t>Approved</t>
        </is>
      </c>
    </row>
    <row r="3">
      <c r="A3" s="2" t="inlineStr">
        <is>
          <t>CPE-2026-002</t>
        </is>
      </c>
      <c r="B3" s="2" t="inlineStr">
        <is>
          <t>Mastering Blockchain in Accounting</t>
        </is>
      </c>
      <c r="C3" s="2" t="inlineStr">
        <is>
          <t>Karen Li</t>
        </is>
      </c>
      <c r="D3" s="3" t="n">
        <v>46282</v>
      </c>
      <c r="E3" s="2" t="inlineStr">
        <is>
          <t>Self-study</t>
        </is>
      </c>
      <c r="F3" s="2" t="n">
        <v>140</v>
      </c>
      <c r="G3" s="2" t="inlineStr">
        <is>
          <t>Management</t>
        </is>
      </c>
      <c r="H3" s="2" t="inlineStr">
        <is>
          <t>Basic</t>
        </is>
      </c>
      <c r="I3" s="2" t="n">
        <v>9</v>
      </c>
      <c r="J3" s="2" t="n">
        <v>0</v>
      </c>
      <c r="K3" s="2" t="n">
        <v>8</v>
      </c>
      <c r="L3" s="2" t="inlineStr">
        <is>
          <t>Y</t>
        </is>
      </c>
      <c r="M3" s="3" t="n">
        <v>46287</v>
      </c>
      <c r="N3" s="2" t="inlineStr">
        <is>
          <t>CPE Desk - Luis</t>
        </is>
      </c>
      <c r="O3" s="2" t="inlineStr">
        <is>
          <t>Approved</t>
        </is>
      </c>
    </row>
    <row r="4">
      <c r="A4" s="2" t="inlineStr">
        <is>
          <t>CPE-2026-003</t>
        </is>
      </c>
      <c r="B4" s="2" t="inlineStr">
        <is>
          <t>Introduction to Tax Reform</t>
        </is>
      </c>
      <c r="C4" s="2" t="inlineStr">
        <is>
          <t>Elena Voss</t>
        </is>
      </c>
      <c r="D4" s="3" t="n">
        <v>46306</v>
      </c>
      <c r="E4" s="2" t="inlineStr">
        <is>
          <t>Group</t>
        </is>
      </c>
      <c r="F4" s="2" t="n">
        <v>150</v>
      </c>
      <c r="G4" s="2" t="inlineStr">
        <is>
          <t>Specialized Knowledge</t>
        </is>
      </c>
      <c r="H4" s="2" t="inlineStr">
        <is>
          <t>Basic</t>
        </is>
      </c>
      <c r="I4" s="2" t="n">
        <v>9</v>
      </c>
      <c r="J4" s="2" t="n">
        <v>9</v>
      </c>
      <c r="K4" s="2" t="n">
        <v>0</v>
      </c>
      <c r="L4" s="2" t="inlineStr">
        <is>
          <t>N</t>
        </is>
      </c>
      <c r="M4" s="3" t="n">
        <v>46311</v>
      </c>
      <c r="N4" s="2" t="inlineStr">
        <is>
          <t>CPE Desk - Luis</t>
        </is>
      </c>
      <c r="O4" s="2" t="inlineStr">
        <is>
          <t>Approved</t>
        </is>
      </c>
    </row>
    <row r="5">
      <c r="A5" s="4" t="inlineStr">
        <is>
          <t>CPE-2026-004</t>
        </is>
      </c>
      <c r="B5" s="4" t="inlineStr">
        <is>
          <t>Current Issues in Internal Controls</t>
        </is>
      </c>
      <c r="C5" s="4" t="inlineStr">
        <is>
          <t>Quinn Torres</t>
        </is>
      </c>
      <c r="D5" s="5" t="n">
        <v>46282</v>
      </c>
      <c r="E5" s="4" t="inlineStr">
        <is>
          <t>Group</t>
        </is>
      </c>
      <c r="F5" s="4" t="n">
        <v>45</v>
      </c>
      <c r="G5" s="4" t="inlineStr">
        <is>
          <t>Business Law</t>
        </is>
      </c>
      <c r="H5" s="4" t="inlineStr">
        <is>
          <t>Intermediate</t>
        </is>
      </c>
      <c r="I5" s="4" t="n">
        <v>1</v>
      </c>
      <c r="J5" s="4" t="n">
        <v>3</v>
      </c>
      <c r="K5" s="4" t="n">
        <v>0</v>
      </c>
      <c r="L5" s="4" t="inlineStr">
        <is>
          <t>N</t>
        </is>
      </c>
      <c r="M5" s="5" t="n">
        <v>46287</v>
      </c>
      <c r="N5" s="4" t="inlineStr">
        <is>
          <t>CPE Desk - Priya</t>
        </is>
      </c>
      <c r="O5" s="4" t="inlineStr">
        <is>
          <t>Needs Correction</t>
        </is>
      </c>
    </row>
    <row r="6">
      <c r="A6" s="2" t="inlineStr">
        <is>
          <t>CPE-2026-005</t>
        </is>
      </c>
      <c r="B6" s="2" t="inlineStr">
        <is>
          <t>Workshop: Data Analytics for CPAs</t>
        </is>
      </c>
      <c r="C6" s="2" t="inlineStr">
        <is>
          <t>Olivia Chen</t>
        </is>
      </c>
      <c r="D6" s="3" t="n">
        <v>46266</v>
      </c>
      <c r="E6" s="2" t="inlineStr">
        <is>
          <t>Self-study</t>
        </is>
      </c>
      <c r="F6" s="2" t="n">
        <v>50</v>
      </c>
      <c r="G6" s="2" t="inlineStr">
        <is>
          <t>Business Law</t>
        </is>
      </c>
      <c r="H6" s="2" t="inlineStr">
        <is>
          <t>Basic</t>
        </is>
      </c>
      <c r="I6" s="2" t="n">
        <v>3</v>
      </c>
      <c r="J6" s="2" t="n">
        <v>0</v>
      </c>
      <c r="K6" s="2" t="n">
        <v>3</v>
      </c>
      <c r="L6" s="2" t="inlineStr">
        <is>
          <t>N</t>
        </is>
      </c>
      <c r="M6" s="3" t="n">
        <v>46271</v>
      </c>
      <c r="N6" s="2" t="inlineStr">
        <is>
          <t>CPE Desk - Omar</t>
        </is>
      </c>
      <c r="O6" s="2" t="inlineStr">
        <is>
          <t>Approved</t>
        </is>
      </c>
    </row>
    <row r="7">
      <c r="A7" s="2" t="inlineStr">
        <is>
          <t>CPE-2026-006</t>
        </is>
      </c>
      <c r="B7" s="2" t="inlineStr">
        <is>
          <t>Practical International Tax</t>
        </is>
      </c>
      <c r="C7" s="2" t="inlineStr">
        <is>
          <t>Frank Huang</t>
        </is>
      </c>
      <c r="D7" s="3" t="n">
        <v>46300</v>
      </c>
      <c r="E7" s="2" t="inlineStr">
        <is>
          <t>Group</t>
        </is>
      </c>
      <c r="F7" s="2" t="n">
        <v>110</v>
      </c>
      <c r="G7" s="2" t="inlineStr">
        <is>
          <t>Economics</t>
        </is>
      </c>
      <c r="H7" s="2" t="inlineStr">
        <is>
          <t>Basic</t>
        </is>
      </c>
      <c r="I7" s="2" t="n">
        <v>7</v>
      </c>
      <c r="J7" s="2" t="n">
        <v>7</v>
      </c>
      <c r="K7" s="2" t="n">
        <v>0</v>
      </c>
      <c r="L7" s="2" t="inlineStr">
        <is>
          <t>Y</t>
        </is>
      </c>
      <c r="M7" s="3" t="n">
        <v>46305</v>
      </c>
      <c r="N7" s="2" t="inlineStr">
        <is>
          <t>CPE Desk - Sarah</t>
        </is>
      </c>
      <c r="O7" s="2" t="inlineStr">
        <is>
          <t>Approved</t>
        </is>
      </c>
    </row>
    <row r="8">
      <c r="A8" s="4" t="inlineStr">
        <is>
          <t>CPE-2026-007</t>
        </is>
      </c>
      <c r="B8" s="4" t="inlineStr">
        <is>
          <t>Essentials of Ethical Decision Making</t>
        </is>
      </c>
      <c r="C8" s="4" t="inlineStr">
        <is>
          <t>Ben Tanaka</t>
        </is>
      </c>
      <c r="D8" s="5" t="n">
        <v>46281</v>
      </c>
      <c r="E8" s="4" t="inlineStr">
        <is>
          <t>Group</t>
        </is>
      </c>
      <c r="F8" s="4" t="n">
        <v>30</v>
      </c>
      <c r="G8" s="4" t="inlineStr">
        <is>
          <t>Economics</t>
        </is>
      </c>
      <c r="H8" s="4" t="inlineStr">
        <is>
          <t>Basic</t>
        </is>
      </c>
      <c r="I8" s="4" t="n">
        <v>0</v>
      </c>
      <c r="J8" s="4" t="n">
        <v>2</v>
      </c>
      <c r="K8" s="4" t="n">
        <v>0</v>
      </c>
      <c r="L8" s="4" t="inlineStr">
        <is>
          <t>Y</t>
        </is>
      </c>
      <c r="M8" s="5" t="n">
        <v>46286</v>
      </c>
      <c r="N8" s="4" t="inlineStr">
        <is>
          <t>CPE Desk - Omar</t>
        </is>
      </c>
      <c r="O8" s="4" t="inlineStr">
        <is>
          <t>Needs Correction</t>
        </is>
      </c>
    </row>
    <row r="9">
      <c r="A9" s="2" t="inlineStr">
        <is>
          <t>CPE-2026-008</t>
        </is>
      </c>
      <c r="B9" s="2" t="inlineStr">
        <is>
          <t>Seminar: Financial Modeling</t>
        </is>
      </c>
      <c r="C9" s="2" t="inlineStr">
        <is>
          <t>Frank Huang</t>
        </is>
      </c>
      <c r="D9" s="3" t="n">
        <v>46282</v>
      </c>
      <c r="E9" s="2" t="inlineStr">
        <is>
          <t>Self-study</t>
        </is>
      </c>
      <c r="F9" s="2" t="n">
        <v>60</v>
      </c>
      <c r="G9" s="2" t="inlineStr">
        <is>
          <t>Business Law</t>
        </is>
      </c>
      <c r="H9" s="2" t="inlineStr">
        <is>
          <t>Advanced</t>
        </is>
      </c>
      <c r="I9" s="2" t="n">
        <v>4</v>
      </c>
      <c r="J9" s="2" t="n">
        <v>0</v>
      </c>
      <c r="K9" s="2" t="n">
        <v>3</v>
      </c>
      <c r="L9" s="2" t="inlineStr">
        <is>
          <t>Y</t>
        </is>
      </c>
      <c r="M9" s="3" t="n">
        <v>46287</v>
      </c>
      <c r="N9" s="2" t="inlineStr">
        <is>
          <t>CPE Desk - Sarah</t>
        </is>
      </c>
      <c r="O9" s="2" t="inlineStr">
        <is>
          <t>Approved</t>
        </is>
      </c>
    </row>
    <row r="10">
      <c r="A10" s="6" t="inlineStr">
        <is>
          <t>CPE-2026-009</t>
        </is>
      </c>
      <c r="B10" s="6" t="inlineStr">
        <is>
          <t>Workshop: International Tax</t>
        </is>
      </c>
      <c r="C10" s="6" t="inlineStr">
        <is>
          <t>Olivia Chen</t>
        </is>
      </c>
      <c r="D10" s="7" t="n">
        <v>46323</v>
      </c>
      <c r="E10" s="6" t="inlineStr">
        <is>
          <t>Self-study</t>
        </is>
      </c>
      <c r="F10" s="6" t="n">
        <v>45</v>
      </c>
      <c r="G10" s="6" t="inlineStr">
        <is>
          <t>Finance</t>
        </is>
      </c>
      <c r="H10" s="6" t="inlineStr">
        <is>
          <t>Basic</t>
        </is>
      </c>
      <c r="I10" s="6" t="n">
        <v>3</v>
      </c>
      <c r="J10" s="6" t="n">
        <v>0</v>
      </c>
      <c r="K10" s="6" t="n">
        <v>2</v>
      </c>
      <c r="L10" s="6" t="inlineStr">
        <is>
          <t>Y</t>
        </is>
      </c>
      <c r="M10" s="7" t="n">
        <v>46328</v>
      </c>
      <c r="N10" s="6" t="inlineStr">
        <is>
          <t>CPE Desk - Sarah</t>
        </is>
      </c>
      <c r="O10" s="6" t="inlineStr">
        <is>
          <t>Pending</t>
        </is>
      </c>
    </row>
    <row r="11">
      <c r="A11" s="2" t="inlineStr">
        <is>
          <t>CPE-2026-010</t>
        </is>
      </c>
      <c r="B11" s="2" t="inlineStr">
        <is>
          <t>Introduction to Blockchain in Accounting</t>
        </is>
      </c>
      <c r="C11" s="2" t="inlineStr">
        <is>
          <t>Rachel Novak</t>
        </is>
      </c>
      <c r="D11" s="3" t="n">
        <v>46280</v>
      </c>
      <c r="E11" s="2" t="inlineStr">
        <is>
          <t>Group</t>
        </is>
      </c>
      <c r="F11" s="2" t="n">
        <v>20</v>
      </c>
      <c r="G11" s="2" t="inlineStr">
        <is>
          <t>Auditing</t>
        </is>
      </c>
      <c r="H11" s="2" t="inlineStr">
        <is>
          <t>Advanced</t>
        </is>
      </c>
      <c r="I11" s="2" t="n">
        <v>2</v>
      </c>
      <c r="J11" s="2" t="n">
        <v>2</v>
      </c>
      <c r="K11" s="2" t="n">
        <v>0</v>
      </c>
      <c r="L11" s="2" t="inlineStr">
        <is>
          <t>Y</t>
        </is>
      </c>
      <c r="M11" s="3" t="n">
        <v>46285</v>
      </c>
      <c r="N11" s="2" t="inlineStr">
        <is>
          <t>CPE Desk - Omar</t>
        </is>
      </c>
      <c r="O11" s="2" t="inlineStr">
        <is>
          <t>Approved</t>
        </is>
      </c>
    </row>
    <row r="12">
      <c r="A12" s="2" t="inlineStr">
        <is>
          <t>CPE-2026-011</t>
        </is>
      </c>
      <c r="B12" s="2" t="inlineStr">
        <is>
          <t>Advanced Revenue Recognition</t>
        </is>
      </c>
      <c r="C12" s="2" t="inlineStr">
        <is>
          <t>Karen Li</t>
        </is>
      </c>
      <c r="D12" s="3" t="n">
        <v>46270</v>
      </c>
      <c r="E12" s="2" t="inlineStr">
        <is>
          <t>Group</t>
        </is>
      </c>
      <c r="F12" s="2" t="n">
        <v>90</v>
      </c>
      <c r="G12" s="2" t="inlineStr">
        <is>
          <t>Economics</t>
        </is>
      </c>
      <c r="H12" s="2" t="inlineStr">
        <is>
          <t>Basic</t>
        </is>
      </c>
      <c r="I12" s="2" t="n">
        <v>6</v>
      </c>
      <c r="J12" s="2" t="n">
        <v>6</v>
      </c>
      <c r="K12" s="2" t="n">
        <v>0</v>
      </c>
      <c r="L12" s="2" t="inlineStr">
        <is>
          <t>Y</t>
        </is>
      </c>
      <c r="M12" s="3" t="n">
        <v>46275</v>
      </c>
      <c r="N12" s="2" t="inlineStr">
        <is>
          <t>CPE Desk - Luis</t>
        </is>
      </c>
      <c r="O12" s="2" t="inlineStr">
        <is>
          <t>Approved</t>
        </is>
      </c>
    </row>
    <row r="13">
      <c r="A13" s="4" t="inlineStr">
        <is>
          <t>CPE-2026-012</t>
        </is>
      </c>
      <c r="B13" s="4" t="inlineStr">
        <is>
          <t>Mastering SOX Compliance</t>
        </is>
      </c>
      <c r="C13" s="4" t="inlineStr">
        <is>
          <t>Nate Johansson</t>
        </is>
      </c>
      <c r="D13" s="5" t="n">
        <v>46278</v>
      </c>
      <c r="E13" s="4" t="inlineStr">
        <is>
          <t>Group</t>
        </is>
      </c>
      <c r="F13" s="4" t="n">
        <v>45</v>
      </c>
      <c r="G13" s="4" t="inlineStr">
        <is>
          <t>Information Technology</t>
        </is>
      </c>
      <c r="H13" s="4" t="inlineStr">
        <is>
          <t>Intermediate</t>
        </is>
      </c>
      <c r="I13" s="4" t="n">
        <v>1</v>
      </c>
      <c r="J13" s="4" t="n">
        <v>3</v>
      </c>
      <c r="K13" s="4" t="n">
        <v>0</v>
      </c>
      <c r="L13" s="4" t="inlineStr">
        <is>
          <t>N</t>
        </is>
      </c>
      <c r="M13" s="5" t="n">
        <v>46283</v>
      </c>
      <c r="N13" s="4" t="inlineStr">
        <is>
          <t>CPE Desk - Luis</t>
        </is>
      </c>
      <c r="O13" s="4" t="inlineStr">
        <is>
          <t>Needs Correction</t>
        </is>
      </c>
    </row>
    <row r="14">
      <c r="A14" s="2" t="inlineStr">
        <is>
          <t>CPE-2026-013</t>
        </is>
      </c>
      <c r="B14" s="2" t="inlineStr">
        <is>
          <t>Introduction to Tax Reform</t>
        </is>
      </c>
      <c r="C14" s="2" t="inlineStr">
        <is>
          <t>Ben Tanaka</t>
        </is>
      </c>
      <c r="D14" s="3" t="n">
        <v>46291</v>
      </c>
      <c r="E14" s="2" t="inlineStr">
        <is>
          <t>Self-study</t>
        </is>
      </c>
      <c r="F14" s="2" t="n">
        <v>45</v>
      </c>
      <c r="G14" s="2" t="inlineStr">
        <is>
          <t>Finance</t>
        </is>
      </c>
      <c r="H14" s="2" t="inlineStr">
        <is>
          <t>Basic</t>
        </is>
      </c>
      <c r="I14" s="2" t="n">
        <v>3</v>
      </c>
      <c r="J14" s="2" t="n">
        <v>0</v>
      </c>
      <c r="K14" s="2" t="n">
        <v>2</v>
      </c>
      <c r="L14" s="2" t="inlineStr">
        <is>
          <t>Y</t>
        </is>
      </c>
      <c r="M14" s="3" t="n">
        <v>46296</v>
      </c>
      <c r="N14" s="2" t="inlineStr">
        <is>
          <t>CPE Desk - Luis</t>
        </is>
      </c>
      <c r="O14" s="2" t="inlineStr">
        <is>
          <t>Approved</t>
        </is>
      </c>
    </row>
    <row r="15">
      <c r="A15" s="2" t="inlineStr">
        <is>
          <t>CPE-2026-014</t>
        </is>
      </c>
      <c r="B15" s="2" t="inlineStr">
        <is>
          <t>Practical Auditing Standards</t>
        </is>
      </c>
      <c r="C15" s="2" t="inlineStr">
        <is>
          <t>Frank Huang</t>
        </is>
      </c>
      <c r="D15" s="3" t="n">
        <v>46283</v>
      </c>
      <c r="E15" s="2" t="inlineStr">
        <is>
          <t>Self-study</t>
        </is>
      </c>
      <c r="F15" s="2" t="n">
        <v>75</v>
      </c>
      <c r="G15" s="2" t="inlineStr">
        <is>
          <t>Auditing</t>
        </is>
      </c>
      <c r="H15" s="2" t="inlineStr">
        <is>
          <t>Intermediate</t>
        </is>
      </c>
      <c r="I15" s="2" t="n">
        <v>5</v>
      </c>
      <c r="J15" s="2" t="n">
        <v>0</v>
      </c>
      <c r="K15" s="2" t="n">
        <v>5</v>
      </c>
      <c r="L15" s="2" t="inlineStr">
        <is>
          <t>Y</t>
        </is>
      </c>
      <c r="M15" s="3" t="n">
        <v>46288</v>
      </c>
      <c r="N15" s="2" t="inlineStr">
        <is>
          <t>CPE Desk - Priya</t>
        </is>
      </c>
      <c r="O15" s="2" t="inlineStr">
        <is>
          <t>Approved</t>
        </is>
      </c>
    </row>
    <row r="16">
      <c r="A16" s="2" t="inlineStr">
        <is>
          <t>CPE-2026-015</t>
        </is>
      </c>
      <c r="B16" s="2" t="inlineStr">
        <is>
          <t>Foundations of GAAP Updates</t>
        </is>
      </c>
      <c r="C16" s="2" t="inlineStr">
        <is>
          <t>Clara Singh</t>
        </is>
      </c>
      <c r="D16" s="3" t="n">
        <v>46314</v>
      </c>
      <c r="E16" s="2" t="inlineStr">
        <is>
          <t>Group</t>
        </is>
      </c>
      <c r="F16" s="2" t="n">
        <v>50</v>
      </c>
      <c r="G16" s="2" t="inlineStr">
        <is>
          <t>Information Technology</t>
        </is>
      </c>
      <c r="H16" s="2" t="inlineStr">
        <is>
          <t>Intermediate</t>
        </is>
      </c>
      <c r="I16" s="2" t="n">
        <v>3</v>
      </c>
      <c r="J16" s="2" t="n">
        <v>3</v>
      </c>
      <c r="K16" s="2" t="n">
        <v>0</v>
      </c>
      <c r="L16" s="2" t="inlineStr">
        <is>
          <t>N</t>
        </is>
      </c>
      <c r="M16" s="3" t="n">
        <v>46319</v>
      </c>
      <c r="N16" s="2" t="inlineStr">
        <is>
          <t>CPE Desk - Omar</t>
        </is>
      </c>
      <c r="O16" s="2" t="inlineStr">
        <is>
          <t>Approved</t>
        </is>
      </c>
    </row>
    <row r="17">
      <c r="A17" s="2" t="inlineStr">
        <is>
          <t>CPE-2026-016</t>
        </is>
      </c>
      <c r="B17" s="2" t="inlineStr">
        <is>
          <t>Workshop: Revenue Recognition</t>
        </is>
      </c>
      <c r="C17" s="2" t="inlineStr">
        <is>
          <t>Frank Huang</t>
        </is>
      </c>
      <c r="D17" s="3" t="n">
        <v>46290</v>
      </c>
      <c r="E17" s="2" t="inlineStr">
        <is>
          <t>Group</t>
        </is>
      </c>
      <c r="F17" s="2" t="n">
        <v>140</v>
      </c>
      <c r="G17" s="2" t="inlineStr">
        <is>
          <t>Ethics</t>
        </is>
      </c>
      <c r="H17" s="2" t="inlineStr">
        <is>
          <t>Intermediate</t>
        </is>
      </c>
      <c r="I17" s="2" t="n">
        <v>9</v>
      </c>
      <c r="J17" s="2" t="n">
        <v>9</v>
      </c>
      <c r="K17" s="2" t="n">
        <v>0</v>
      </c>
      <c r="L17" s="2" t="inlineStr">
        <is>
          <t>N</t>
        </is>
      </c>
      <c r="M17" s="3" t="n">
        <v>46295</v>
      </c>
      <c r="N17" s="2" t="inlineStr">
        <is>
          <t>CPE Desk - Luis</t>
        </is>
      </c>
      <c r="O17" s="2" t="inlineStr">
        <is>
          <t>Approved</t>
        </is>
      </c>
    </row>
    <row r="18">
      <c r="A18" s="2" t="inlineStr">
        <is>
          <t>CPE-2026-017</t>
        </is>
      </c>
      <c r="B18" s="2" t="inlineStr">
        <is>
          <t>Foundations of SOX Compliance</t>
        </is>
      </c>
      <c r="C18" s="2" t="inlineStr">
        <is>
          <t>Elena Voss</t>
        </is>
      </c>
      <c r="D18" s="3" t="n">
        <v>46278</v>
      </c>
      <c r="E18" s="2" t="inlineStr">
        <is>
          <t>Self-study</t>
        </is>
      </c>
      <c r="F18" s="2" t="n">
        <v>60</v>
      </c>
      <c r="G18" s="2" t="inlineStr">
        <is>
          <t>Accounting</t>
        </is>
      </c>
      <c r="H18" s="2" t="inlineStr">
        <is>
          <t>Advanced</t>
        </is>
      </c>
      <c r="I18" s="2" t="n">
        <v>4</v>
      </c>
      <c r="J18" s="2" t="n">
        <v>0</v>
      </c>
      <c r="K18" s="2" t="n">
        <v>3</v>
      </c>
      <c r="L18" s="2" t="inlineStr">
        <is>
          <t>Y</t>
        </is>
      </c>
      <c r="M18" s="3" t="n">
        <v>46283</v>
      </c>
      <c r="N18" s="2" t="inlineStr">
        <is>
          <t>CPE Desk - Sarah</t>
        </is>
      </c>
      <c r="O18" s="2" t="inlineStr">
        <is>
          <t>Approved</t>
        </is>
      </c>
    </row>
    <row r="19">
      <c r="A19" s="2" t="inlineStr">
        <is>
          <t>CPE-2026-018</t>
        </is>
      </c>
      <c r="B19" s="2" t="inlineStr">
        <is>
          <t>Introduction to Revenue Recognition</t>
        </is>
      </c>
      <c r="C19" s="2" t="inlineStr">
        <is>
          <t>Sam Adeyemi</t>
        </is>
      </c>
      <c r="D19" s="3" t="n">
        <v>46296</v>
      </c>
      <c r="E19" s="2" t="inlineStr">
        <is>
          <t>Group</t>
        </is>
      </c>
      <c r="F19" s="2" t="n">
        <v>25</v>
      </c>
      <c r="G19" s="2" t="inlineStr">
        <is>
          <t>Business Law</t>
        </is>
      </c>
      <c r="H19" s="2" t="inlineStr">
        <is>
          <t>Basic</t>
        </is>
      </c>
      <c r="I19" s="2" t="n">
        <v>2</v>
      </c>
      <c r="J19" s="2" t="n">
        <v>2</v>
      </c>
      <c r="K19" s="2" t="n">
        <v>0</v>
      </c>
      <c r="L19" s="2" t="inlineStr">
        <is>
          <t>Y</t>
        </is>
      </c>
      <c r="M19" s="3" t="n">
        <v>46301</v>
      </c>
      <c r="N19" s="2" t="inlineStr">
        <is>
          <t>CPE Desk - Priya</t>
        </is>
      </c>
      <c r="O19" s="2" t="inlineStr">
        <is>
          <t>Approved</t>
        </is>
      </c>
    </row>
    <row r="20">
      <c r="A20" s="2" t="inlineStr">
        <is>
          <t>CPE-2026-019</t>
        </is>
      </c>
      <c r="B20" s="2" t="inlineStr">
        <is>
          <t>Current Issues in Lease Accounting</t>
        </is>
      </c>
      <c r="C20" s="2" t="inlineStr">
        <is>
          <t>Henry Reyes</t>
        </is>
      </c>
      <c r="D20" s="3" t="n">
        <v>46291</v>
      </c>
      <c r="E20" s="2" t="inlineStr">
        <is>
          <t>Group</t>
        </is>
      </c>
      <c r="F20" s="2" t="n">
        <v>75</v>
      </c>
      <c r="G20" s="2" t="inlineStr">
        <is>
          <t>Specialized Knowledge</t>
        </is>
      </c>
      <c r="H20" s="2" t="inlineStr">
        <is>
          <t>Advanced</t>
        </is>
      </c>
      <c r="I20" s="2" t="n">
        <v>5</v>
      </c>
      <c r="J20" s="2" t="n">
        <v>5</v>
      </c>
      <c r="K20" s="2" t="n">
        <v>0</v>
      </c>
      <c r="L20" s="2" t="inlineStr">
        <is>
          <t>Y</t>
        </is>
      </c>
      <c r="M20" s="3" t="n">
        <v>46296</v>
      </c>
      <c r="N20" s="2" t="inlineStr">
        <is>
          <t>CPE Desk - Priya</t>
        </is>
      </c>
      <c r="O20" s="2" t="inlineStr">
        <is>
          <t>Approved</t>
        </is>
      </c>
    </row>
    <row r="21">
      <c r="A21" s="8" t="inlineStr">
        <is>
          <t>CPE-2026-020</t>
        </is>
      </c>
      <c r="B21" s="8" t="inlineStr">
        <is>
          <t>Workshop: Blockchain in Accounting</t>
        </is>
      </c>
      <c r="C21" s="8" t="inlineStr">
        <is>
          <t>Sam Adeyemi</t>
        </is>
      </c>
      <c r="D21" s="9" t="n">
        <v>46299</v>
      </c>
      <c r="E21" s="8" t="inlineStr">
        <is>
          <t>Self-study</t>
        </is>
      </c>
      <c r="F21" s="8" t="n">
        <v>90</v>
      </c>
      <c r="G21" s="8" t="inlineStr"/>
      <c r="H21" s="8" t="inlineStr">
        <is>
          <t>Advanced</t>
        </is>
      </c>
      <c r="I21" s="8" t="n">
        <v>6</v>
      </c>
      <c r="J21" s="8" t="n">
        <v>0</v>
      </c>
      <c r="K21" s="8" t="n">
        <v>5</v>
      </c>
      <c r="L21" s="8" t="inlineStr">
        <is>
          <t>N</t>
        </is>
      </c>
      <c r="M21" s="9" t="n">
        <v>46304</v>
      </c>
      <c r="N21" s="8" t="inlineStr">
        <is>
          <t>CPE Desk - Omar</t>
        </is>
      </c>
      <c r="O21" s="8" t="inlineStr">
        <is>
          <t>Escalate</t>
        </is>
      </c>
    </row>
    <row r="22">
      <c r="A22" s="4" t="inlineStr">
        <is>
          <t>CPE-2026-021</t>
        </is>
      </c>
      <c r="B22" s="4" t="inlineStr">
        <is>
          <t>Essentials of QuickBooks Pro</t>
        </is>
      </c>
      <c r="C22" s="4" t="inlineStr">
        <is>
          <t>Elena Voss</t>
        </is>
      </c>
      <c r="D22" s="5" t="n">
        <v>46308</v>
      </c>
      <c r="E22" s="4" t="inlineStr">
        <is>
          <t>Self-study</t>
        </is>
      </c>
      <c r="F22" s="4" t="n">
        <v>170</v>
      </c>
      <c r="G22" s="4" t="inlineStr">
        <is>
          <t>Management</t>
        </is>
      </c>
      <c r="H22" s="4" t="inlineStr">
        <is>
          <t>Basic</t>
        </is>
      </c>
      <c r="I22" s="4" t="n">
        <v>11</v>
      </c>
      <c r="J22" s="4" t="n">
        <v>0</v>
      </c>
      <c r="K22" s="4" t="n">
        <v>9</v>
      </c>
      <c r="L22" s="4" t="inlineStr">
        <is>
          <t>Y</t>
        </is>
      </c>
      <c r="M22" s="5" t="n">
        <v>46313</v>
      </c>
      <c r="N22" s="4" t="inlineStr">
        <is>
          <t>CPE Desk - Luis</t>
        </is>
      </c>
      <c r="O22" s="4" t="inlineStr">
        <is>
          <t>Needs Correction</t>
        </is>
      </c>
    </row>
    <row r="23">
      <c r="A23" s="4" t="inlineStr">
        <is>
          <t>CPE-2026-022</t>
        </is>
      </c>
      <c r="B23" s="4" t="inlineStr">
        <is>
          <t>Advanced Financial Modeling</t>
        </is>
      </c>
      <c r="C23" s="4" t="inlineStr">
        <is>
          <t>Grace Patel</t>
        </is>
      </c>
      <c r="D23" s="5" t="n">
        <v>46298</v>
      </c>
      <c r="E23" s="4" t="inlineStr">
        <is>
          <t>Self-study</t>
        </is>
      </c>
      <c r="F23" s="4" t="n">
        <v>49</v>
      </c>
      <c r="G23" s="4" t="inlineStr">
        <is>
          <t>Management</t>
        </is>
      </c>
      <c r="H23" s="4" t="inlineStr">
        <is>
          <t>Basic</t>
        </is>
      </c>
      <c r="I23" s="4" t="n">
        <v>3</v>
      </c>
      <c r="J23" s="4" t="n">
        <v>0</v>
      </c>
      <c r="K23" s="4" t="n">
        <v>2</v>
      </c>
      <c r="L23" s="4" t="inlineStr">
        <is>
          <t>Y</t>
        </is>
      </c>
      <c r="M23" s="5" t="n">
        <v>46303</v>
      </c>
      <c r="N23" s="4" t="inlineStr">
        <is>
          <t>CPE Desk - Sarah</t>
        </is>
      </c>
      <c r="O23" s="4" t="inlineStr">
        <is>
          <t>Needs Correction</t>
        </is>
      </c>
    </row>
    <row r="24">
      <c r="A24" s="6" t="inlineStr">
        <is>
          <t>CPE-2026-023</t>
        </is>
      </c>
      <c r="B24" s="6" t="inlineStr">
        <is>
          <t>Essentials of Data Analytics for CPAs</t>
        </is>
      </c>
      <c r="C24" s="6" t="inlineStr">
        <is>
          <t>Olivia Chen</t>
        </is>
      </c>
      <c r="D24" s="7" t="n">
        <v>46319</v>
      </c>
      <c r="E24" s="6" t="inlineStr">
        <is>
          <t>Self-study</t>
        </is>
      </c>
      <c r="F24" s="6" t="n">
        <v>35</v>
      </c>
      <c r="G24" s="6" t="inlineStr">
        <is>
          <t>Business Law</t>
        </is>
      </c>
      <c r="H24" s="6" t="inlineStr">
        <is>
          <t>Intermediate</t>
        </is>
      </c>
      <c r="I24" s="6" t="n">
        <v>2</v>
      </c>
      <c r="J24" s="6" t="n">
        <v>0</v>
      </c>
      <c r="K24" s="6" t="n">
        <v>2</v>
      </c>
      <c r="L24" s="6" t="inlineStr">
        <is>
          <t>Y</t>
        </is>
      </c>
      <c r="M24" s="7" t="n">
        <v>46324</v>
      </c>
      <c r="N24" s="6" t="inlineStr">
        <is>
          <t>CPE Desk - Omar</t>
        </is>
      </c>
      <c r="O24" s="6" t="inlineStr">
        <is>
          <t>Pending</t>
        </is>
      </c>
    </row>
    <row r="25">
      <c r="A25" s="2" t="inlineStr">
        <is>
          <t>CPE-2026-024</t>
        </is>
      </c>
      <c r="B25" s="2" t="inlineStr">
        <is>
          <t>Advanced Tax Reform</t>
        </is>
      </c>
      <c r="C25" s="2" t="inlineStr">
        <is>
          <t>Rachel Novak</t>
        </is>
      </c>
      <c r="D25" s="3" t="n">
        <v>46275</v>
      </c>
      <c r="E25" s="2" t="inlineStr">
        <is>
          <t>Self-study</t>
        </is>
      </c>
      <c r="F25" s="2" t="n">
        <v>100</v>
      </c>
      <c r="G25" s="2" t="inlineStr">
        <is>
          <t>Specialized Knowledge</t>
        </is>
      </c>
      <c r="H25" s="2" t="inlineStr">
        <is>
          <t>Basic</t>
        </is>
      </c>
      <c r="I25" s="2" t="n">
        <v>6</v>
      </c>
      <c r="J25" s="2" t="n">
        <v>0</v>
      </c>
      <c r="K25" s="2" t="n">
        <v>6</v>
      </c>
      <c r="L25" s="2" t="inlineStr">
        <is>
          <t>N</t>
        </is>
      </c>
      <c r="M25" s="3" t="n">
        <v>46280</v>
      </c>
      <c r="N25" s="2" t="inlineStr">
        <is>
          <t>CPE Desk - Omar</t>
        </is>
      </c>
      <c r="O25" s="2" t="inlineStr">
        <is>
          <t>Approved</t>
        </is>
      </c>
    </row>
    <row r="26">
      <c r="A26" s="2" t="inlineStr">
        <is>
          <t>CPE-2026-025</t>
        </is>
      </c>
      <c r="B26" s="2" t="inlineStr">
        <is>
          <t>Essentials of IFRS vs GAAP</t>
        </is>
      </c>
      <c r="C26" s="2" t="inlineStr">
        <is>
          <t>Paul Mbeki</t>
        </is>
      </c>
      <c r="D26" s="3" t="n">
        <v>46282</v>
      </c>
      <c r="E26" s="2" t="inlineStr">
        <is>
          <t>Group</t>
        </is>
      </c>
      <c r="F26" s="2" t="n">
        <v>30</v>
      </c>
      <c r="G26" s="2" t="inlineStr">
        <is>
          <t>Information Technology</t>
        </is>
      </c>
      <c r="H26" s="2" t="inlineStr">
        <is>
          <t>Intermediate</t>
        </is>
      </c>
      <c r="I26" s="2" t="n">
        <v>2</v>
      </c>
      <c r="J26" s="2" t="n">
        <v>2</v>
      </c>
      <c r="K26" s="2" t="n">
        <v>0</v>
      </c>
      <c r="L26" s="2" t="inlineStr">
        <is>
          <t>Y</t>
        </is>
      </c>
      <c r="M26" s="3" t="n">
        <v>46287</v>
      </c>
      <c r="N26" s="2" t="inlineStr">
        <is>
          <t>CPE Desk - Priya</t>
        </is>
      </c>
      <c r="O26" s="2" t="inlineStr">
        <is>
          <t>Approved</t>
        </is>
      </c>
    </row>
    <row r="27">
      <c r="A27" s="2" t="inlineStr">
        <is>
          <t>CPE-2026-026</t>
        </is>
      </c>
      <c r="B27" s="2" t="inlineStr">
        <is>
          <t>Deep Dive into Cybersecurity Risk</t>
        </is>
      </c>
      <c r="C27" s="2" t="inlineStr">
        <is>
          <t>Irene Schultz</t>
        </is>
      </c>
      <c r="D27" s="3" t="n">
        <v>46276</v>
      </c>
      <c r="E27" s="2" t="inlineStr">
        <is>
          <t>Self-study</t>
        </is>
      </c>
      <c r="F27" s="2" t="n">
        <v>150</v>
      </c>
      <c r="G27" s="2" t="inlineStr">
        <is>
          <t>Business Law</t>
        </is>
      </c>
      <c r="H27" s="2" t="inlineStr">
        <is>
          <t>Basic</t>
        </is>
      </c>
      <c r="I27" s="2" t="n">
        <v>9</v>
      </c>
      <c r="J27" s="2" t="n">
        <v>0</v>
      </c>
      <c r="K27" s="2" t="n">
        <v>9</v>
      </c>
      <c r="L27" s="2" t="inlineStr">
        <is>
          <t>Y</t>
        </is>
      </c>
      <c r="M27" s="3" t="n">
        <v>46281</v>
      </c>
      <c r="N27" s="2" t="inlineStr">
        <is>
          <t>CPE Desk - Priya</t>
        </is>
      </c>
      <c r="O27" s="2" t="inlineStr">
        <is>
          <t>Approved</t>
        </is>
      </c>
    </row>
    <row r="28">
      <c r="A28" s="6" t="inlineStr">
        <is>
          <t>CPE-2026-027</t>
        </is>
      </c>
      <c r="B28" s="6" t="inlineStr">
        <is>
          <t>Practical Financial Modeling</t>
        </is>
      </c>
      <c r="C28" s="6" t="inlineStr">
        <is>
          <t>Ben Tanaka</t>
        </is>
      </c>
      <c r="D28" s="7" t="n">
        <v>46319</v>
      </c>
      <c r="E28" s="6" t="inlineStr">
        <is>
          <t>Self-study</t>
        </is>
      </c>
      <c r="F28" s="6" t="n">
        <v>49</v>
      </c>
      <c r="G28" s="6" t="inlineStr">
        <is>
          <t>Information Technology</t>
        </is>
      </c>
      <c r="H28" s="6" t="inlineStr">
        <is>
          <t>Basic</t>
        </is>
      </c>
      <c r="I28" s="6" t="n">
        <v>3</v>
      </c>
      <c r="J28" s="6" t="n">
        <v>0</v>
      </c>
      <c r="K28" s="6" t="n">
        <v>2</v>
      </c>
      <c r="L28" s="6" t="inlineStr">
        <is>
          <t>Y</t>
        </is>
      </c>
      <c r="M28" s="7" t="n">
        <v>46324</v>
      </c>
      <c r="N28" s="6" t="inlineStr">
        <is>
          <t>CPE Desk - Sarah</t>
        </is>
      </c>
      <c r="O28" s="6" t="inlineStr">
        <is>
          <t>Pending</t>
        </is>
      </c>
    </row>
    <row r="29">
      <c r="A29" s="4" t="inlineStr">
        <is>
          <t>CPE-2026-028</t>
        </is>
      </c>
      <c r="B29" s="4" t="inlineStr">
        <is>
          <t>Deep Dive into Revenue Recognition</t>
        </is>
      </c>
      <c r="C29" s="4" t="inlineStr">
        <is>
          <t>Leo Fernandez</t>
        </is>
      </c>
      <c r="D29" s="5" t="n">
        <v>46279</v>
      </c>
      <c r="E29" s="4" t="inlineStr">
        <is>
          <t>Group</t>
        </is>
      </c>
      <c r="F29" s="4" t="n">
        <v>55</v>
      </c>
      <c r="G29" s="4" t="inlineStr">
        <is>
          <t>Management</t>
        </is>
      </c>
      <c r="H29" s="4" t="inlineStr">
        <is>
          <t>Advanced</t>
        </is>
      </c>
      <c r="I29" s="4" t="n">
        <v>3</v>
      </c>
      <c r="J29" s="4" t="n">
        <v>3</v>
      </c>
      <c r="K29" s="4" t="n">
        <v>0</v>
      </c>
      <c r="L29" s="4" t="inlineStr">
        <is>
          <t>N</t>
        </is>
      </c>
      <c r="M29" s="5" t="n">
        <v>46284</v>
      </c>
      <c r="N29" s="4" t="inlineStr">
        <is>
          <t>CPE Desk - Omar</t>
        </is>
      </c>
      <c r="O29" s="4" t="inlineStr">
        <is>
          <t>Needs Correction</t>
        </is>
      </c>
    </row>
    <row r="30">
      <c r="A30" s="2" t="inlineStr">
        <is>
          <t>CPE-2026-029</t>
        </is>
      </c>
      <c r="B30" s="2" t="inlineStr">
        <is>
          <t>Practical Data Analytics for CPAs</t>
        </is>
      </c>
      <c r="C30" s="2" t="inlineStr">
        <is>
          <t>Nate Johansson</t>
        </is>
      </c>
      <c r="D30" s="3" t="n">
        <v>46267</v>
      </c>
      <c r="E30" s="2" t="inlineStr">
        <is>
          <t>Group</t>
        </is>
      </c>
      <c r="F30" s="2" t="n">
        <v>110</v>
      </c>
      <c r="G30" s="2" t="inlineStr">
        <is>
          <t>Information Technology</t>
        </is>
      </c>
      <c r="H30" s="2" t="inlineStr">
        <is>
          <t>Advanced</t>
        </is>
      </c>
      <c r="I30" s="2" t="n">
        <v>7</v>
      </c>
      <c r="J30" s="2" t="n">
        <v>7</v>
      </c>
      <c r="K30" s="2" t="n">
        <v>0</v>
      </c>
      <c r="L30" s="2" t="inlineStr">
        <is>
          <t>Y</t>
        </is>
      </c>
      <c r="M30" s="3" t="n">
        <v>46272</v>
      </c>
      <c r="N30" s="2" t="inlineStr">
        <is>
          <t>CPE Desk - Sarah</t>
        </is>
      </c>
      <c r="O30" s="2" t="inlineStr">
        <is>
          <t>Approved</t>
        </is>
      </c>
    </row>
    <row r="31">
      <c r="A31" s="6" t="inlineStr">
        <is>
          <t>CPE-2026-030</t>
        </is>
      </c>
      <c r="B31" s="6" t="inlineStr">
        <is>
          <t>Practical Tax Reform</t>
        </is>
      </c>
      <c r="C31" s="6" t="inlineStr">
        <is>
          <t>Maya Brooks</t>
        </is>
      </c>
      <c r="D31" s="7" t="n">
        <v>46321</v>
      </c>
      <c r="E31" s="6" t="inlineStr">
        <is>
          <t>Group</t>
        </is>
      </c>
      <c r="F31" s="6" t="n">
        <v>200</v>
      </c>
      <c r="G31" s="6" t="inlineStr"/>
      <c r="H31" s="6" t="inlineStr">
        <is>
          <t>Basic</t>
        </is>
      </c>
      <c r="I31" s="6" t="n">
        <v>12</v>
      </c>
      <c r="J31" s="6" t="n">
        <v>12</v>
      </c>
      <c r="K31" s="6" t="n">
        <v>0</v>
      </c>
      <c r="L31" s="6" t="inlineStr">
        <is>
          <t>N</t>
        </is>
      </c>
      <c r="M31" s="7" t="n">
        <v>46326</v>
      </c>
      <c r="N31" s="6" t="inlineStr">
        <is>
          <t>CPE Desk - Sarah</t>
        </is>
      </c>
      <c r="O31" s="6" t="inlineStr">
        <is>
          <t>Pending</t>
        </is>
      </c>
    </row>
    <row r="32">
      <c r="A32" s="4" t="inlineStr">
        <is>
          <t>CPE-2026-031</t>
        </is>
      </c>
      <c r="B32" s="4" t="inlineStr">
        <is>
          <t>Essentials of Ethical Decision Making</t>
        </is>
      </c>
      <c r="C32" s="4" t="inlineStr">
        <is>
          <t>Henry Reyes</t>
        </is>
      </c>
      <c r="D32" s="5" t="n">
        <v>46267</v>
      </c>
      <c r="E32" s="4" t="inlineStr">
        <is>
          <t>Group</t>
        </is>
      </c>
      <c r="F32" s="4" t="n">
        <v>140</v>
      </c>
      <c r="G32" s="4" t="inlineStr">
        <is>
          <t>Management</t>
        </is>
      </c>
      <c r="H32" s="4" t="inlineStr">
        <is>
          <t>Intermediate</t>
        </is>
      </c>
      <c r="I32" s="4" t="n">
        <v>7</v>
      </c>
      <c r="J32" s="4" t="n">
        <v>9</v>
      </c>
      <c r="K32" s="4" t="n">
        <v>0</v>
      </c>
      <c r="L32" s="4" t="inlineStr">
        <is>
          <t>Y</t>
        </is>
      </c>
      <c r="M32" s="5" t="n">
        <v>46272</v>
      </c>
      <c r="N32" s="4" t="inlineStr">
        <is>
          <t>CPE Desk - Sarah</t>
        </is>
      </c>
      <c r="O32" s="4" t="inlineStr">
        <is>
          <t>Needs Correction</t>
        </is>
      </c>
    </row>
    <row r="33">
      <c r="A33" s="2" t="inlineStr">
        <is>
          <t>CPE-2026-032</t>
        </is>
      </c>
      <c r="B33" s="2" t="inlineStr">
        <is>
          <t>Foundations of QuickBooks Pro</t>
        </is>
      </c>
      <c r="C33" s="2" t="inlineStr">
        <is>
          <t>Rachel Novak</t>
        </is>
      </c>
      <c r="D33" s="3" t="n">
        <v>46287</v>
      </c>
      <c r="E33" s="2" t="inlineStr">
        <is>
          <t>Group</t>
        </is>
      </c>
      <c r="F33" s="2" t="n">
        <v>45</v>
      </c>
      <c r="G33" s="2" t="inlineStr">
        <is>
          <t>Ethics</t>
        </is>
      </c>
      <c r="H33" s="2" t="inlineStr">
        <is>
          <t>Basic</t>
        </is>
      </c>
      <c r="I33" s="2" t="n">
        <v>3</v>
      </c>
      <c r="J33" s="2" t="n">
        <v>3</v>
      </c>
      <c r="K33" s="2" t="n">
        <v>0</v>
      </c>
      <c r="L33" s="2" t="inlineStr">
        <is>
          <t>N</t>
        </is>
      </c>
      <c r="M33" s="3" t="n">
        <v>46292</v>
      </c>
      <c r="N33" s="2" t="inlineStr">
        <is>
          <t>CPE Desk - Priya</t>
        </is>
      </c>
      <c r="O33" s="2" t="inlineStr">
        <is>
          <t>Approved</t>
        </is>
      </c>
    </row>
    <row r="34">
      <c r="A34" s="2" t="inlineStr">
        <is>
          <t>CPE-2026-033</t>
        </is>
      </c>
      <c r="B34" s="2" t="inlineStr">
        <is>
          <t>Advanced Remote Audit Techniques</t>
        </is>
      </c>
      <c r="C34" s="2" t="inlineStr">
        <is>
          <t>Nate Johansson</t>
        </is>
      </c>
      <c r="D34" s="3" t="n">
        <v>46288</v>
      </c>
      <c r="E34" s="2" t="inlineStr">
        <is>
          <t>Self-study</t>
        </is>
      </c>
      <c r="F34" s="2" t="n">
        <v>150</v>
      </c>
      <c r="G34" s="2" t="inlineStr">
        <is>
          <t>Specialized Knowledge</t>
        </is>
      </c>
      <c r="H34" s="2" t="inlineStr">
        <is>
          <t>Advanced</t>
        </is>
      </c>
      <c r="I34" s="2" t="n">
        <v>9</v>
      </c>
      <c r="J34" s="2" t="n">
        <v>0</v>
      </c>
      <c r="K34" s="2" t="n">
        <v>9</v>
      </c>
      <c r="L34" s="2" t="inlineStr">
        <is>
          <t>Y</t>
        </is>
      </c>
      <c r="M34" s="3" t="n">
        <v>46293</v>
      </c>
      <c r="N34" s="2" t="inlineStr">
        <is>
          <t>CPE Desk - Luis</t>
        </is>
      </c>
      <c r="O34" s="2" t="inlineStr">
        <is>
          <t>Approved</t>
        </is>
      </c>
    </row>
    <row r="35">
      <c r="A35" s="2" t="inlineStr">
        <is>
          <t>CPE-2026-034</t>
        </is>
      </c>
      <c r="B35" s="2" t="inlineStr">
        <is>
          <t>Current Issues in Fraud Prevention</t>
        </is>
      </c>
      <c r="C35" s="2" t="inlineStr">
        <is>
          <t>Irene Schultz</t>
        </is>
      </c>
      <c r="D35" s="3" t="n">
        <v>46268</v>
      </c>
      <c r="E35" s="2" t="inlineStr">
        <is>
          <t>Self-study</t>
        </is>
      </c>
      <c r="F35" s="2" t="n">
        <v>20</v>
      </c>
      <c r="G35" s="2" t="inlineStr">
        <is>
          <t>Business Law</t>
        </is>
      </c>
      <c r="H35" s="2" t="inlineStr">
        <is>
          <t>Advanced</t>
        </is>
      </c>
      <c r="I35" s="2" t="n">
        <v>2</v>
      </c>
      <c r="J35" s="2" t="n">
        <v>0</v>
      </c>
      <c r="K35" s="2" t="n">
        <v>1</v>
      </c>
      <c r="L35" s="2" t="inlineStr">
        <is>
          <t>Y</t>
        </is>
      </c>
      <c r="M35" s="3" t="n">
        <v>46273</v>
      </c>
      <c r="N35" s="2" t="inlineStr">
        <is>
          <t>CPE Desk - Sarah</t>
        </is>
      </c>
      <c r="O35" s="2" t="inlineStr">
        <is>
          <t>Approved</t>
        </is>
      </c>
    </row>
    <row r="36">
      <c r="A36" s="2" t="inlineStr">
        <is>
          <t>CPE-2026-035</t>
        </is>
      </c>
      <c r="B36" s="2" t="inlineStr">
        <is>
          <t>Workshop: Lease Accounting</t>
        </is>
      </c>
      <c r="C36" s="2" t="inlineStr">
        <is>
          <t>Karen Li</t>
        </is>
      </c>
      <c r="D36" s="3" t="n">
        <v>46305</v>
      </c>
      <c r="E36" s="2" t="inlineStr">
        <is>
          <t>Self-study</t>
        </is>
      </c>
      <c r="F36" s="2" t="n">
        <v>45</v>
      </c>
      <c r="G36" s="2" t="inlineStr">
        <is>
          <t>Ethics</t>
        </is>
      </c>
      <c r="H36" s="2" t="inlineStr">
        <is>
          <t>Advanced</t>
        </is>
      </c>
      <c r="I36" s="2" t="n">
        <v>3</v>
      </c>
      <c r="J36" s="2" t="n">
        <v>0</v>
      </c>
      <c r="K36" s="2" t="n">
        <v>2</v>
      </c>
      <c r="L36" s="2" t="inlineStr">
        <is>
          <t>N</t>
        </is>
      </c>
      <c r="M36" s="3" t="n">
        <v>46310</v>
      </c>
      <c r="N36" s="2" t="inlineStr">
        <is>
          <t>CPE Desk - Luis</t>
        </is>
      </c>
      <c r="O36" s="2" t="inlineStr">
        <is>
          <t>Approved</t>
        </is>
      </c>
    </row>
    <row r="37">
      <c r="A37" s="2" t="inlineStr">
        <is>
          <t>CPE-2026-036</t>
        </is>
      </c>
      <c r="B37" s="2" t="inlineStr">
        <is>
          <t>Deep Dive into QuickBooks Pro</t>
        </is>
      </c>
      <c r="C37" s="2" t="inlineStr">
        <is>
          <t>James Osei</t>
        </is>
      </c>
      <c r="D37" s="3" t="n">
        <v>46301</v>
      </c>
      <c r="E37" s="2" t="inlineStr">
        <is>
          <t>Group</t>
        </is>
      </c>
      <c r="F37" s="2" t="n">
        <v>60</v>
      </c>
      <c r="G37" s="2" t="inlineStr">
        <is>
          <t>Information Technology</t>
        </is>
      </c>
      <c r="H37" s="2" t="inlineStr">
        <is>
          <t>Advanced</t>
        </is>
      </c>
      <c r="I37" s="2" t="n">
        <v>4</v>
      </c>
      <c r="J37" s="2" t="n">
        <v>4</v>
      </c>
      <c r="K37" s="2" t="n">
        <v>0</v>
      </c>
      <c r="L37" s="2" t="inlineStr">
        <is>
          <t>N</t>
        </is>
      </c>
      <c r="M37" s="3" t="n">
        <v>46306</v>
      </c>
      <c r="N37" s="2" t="inlineStr">
        <is>
          <t>CPE Desk - Omar</t>
        </is>
      </c>
      <c r="O37" s="2" t="inlineStr">
        <is>
          <t>Approved</t>
        </is>
      </c>
    </row>
    <row r="38">
      <c r="A38" s="2" t="inlineStr">
        <is>
          <t>CPE-2026-037</t>
        </is>
      </c>
      <c r="B38" s="2" t="inlineStr">
        <is>
          <t>Current Issues in Blockchain in Accounting</t>
        </is>
      </c>
      <c r="C38" s="2" t="inlineStr">
        <is>
          <t>James Osei</t>
        </is>
      </c>
      <c r="D38" s="3" t="n">
        <v>46291</v>
      </c>
      <c r="E38" s="2" t="inlineStr">
        <is>
          <t>Group</t>
        </is>
      </c>
      <c r="F38" s="2" t="n">
        <v>100</v>
      </c>
      <c r="G38" s="2" t="inlineStr">
        <is>
          <t>Ethics</t>
        </is>
      </c>
      <c r="H38" s="2" t="inlineStr">
        <is>
          <t>Basic</t>
        </is>
      </c>
      <c r="I38" s="2" t="n">
        <v>6</v>
      </c>
      <c r="J38" s="2" t="n">
        <v>6</v>
      </c>
      <c r="K38" s="2" t="n">
        <v>0</v>
      </c>
      <c r="L38" s="2" t="inlineStr">
        <is>
          <t>N</t>
        </is>
      </c>
      <c r="M38" s="3" t="n">
        <v>46296</v>
      </c>
      <c r="N38" s="2" t="inlineStr">
        <is>
          <t>CPE Desk - Sarah</t>
        </is>
      </c>
      <c r="O38" s="2" t="inlineStr">
        <is>
          <t>Approved</t>
        </is>
      </c>
    </row>
    <row r="39">
      <c r="A39" s="2" t="inlineStr">
        <is>
          <t>CPE-2026-038</t>
        </is>
      </c>
      <c r="B39" s="2" t="inlineStr">
        <is>
          <t>Seminar: Internal Controls</t>
        </is>
      </c>
      <c r="C39" s="2" t="inlineStr">
        <is>
          <t>Olivia Chen</t>
        </is>
      </c>
      <c r="D39" s="3" t="n">
        <v>46309</v>
      </c>
      <c r="E39" s="2" t="inlineStr">
        <is>
          <t>Group</t>
        </is>
      </c>
      <c r="F39" s="2" t="n">
        <v>200</v>
      </c>
      <c r="G39" s="2" t="inlineStr">
        <is>
          <t>Taxation</t>
        </is>
      </c>
      <c r="H39" s="2" t="inlineStr">
        <is>
          <t>Advanced</t>
        </is>
      </c>
      <c r="I39" s="2" t="n">
        <v>12</v>
      </c>
      <c r="J39" s="2" t="n">
        <v>12</v>
      </c>
      <c r="K39" s="2" t="n">
        <v>0</v>
      </c>
      <c r="L39" s="2" t="inlineStr">
        <is>
          <t>Y</t>
        </is>
      </c>
      <c r="M39" s="3" t="n">
        <v>46314</v>
      </c>
      <c r="N39" s="2" t="inlineStr">
        <is>
          <t>CPE Desk - Sarah</t>
        </is>
      </c>
      <c r="O39" s="2" t="inlineStr">
        <is>
          <t>Approved</t>
        </is>
      </c>
    </row>
    <row r="40">
      <c r="A40" s="2" t="inlineStr">
        <is>
          <t>CPE-2026-039</t>
        </is>
      </c>
      <c r="B40" s="2" t="inlineStr">
        <is>
          <t>Foundations of Remote Audit Techniques</t>
        </is>
      </c>
      <c r="C40" s="2" t="inlineStr">
        <is>
          <t>Karen Li</t>
        </is>
      </c>
      <c r="D40" s="3" t="n">
        <v>46271</v>
      </c>
      <c r="E40" s="2" t="inlineStr">
        <is>
          <t>Group</t>
        </is>
      </c>
      <c r="F40" s="2" t="n">
        <v>100</v>
      </c>
      <c r="G40" s="2" t="inlineStr">
        <is>
          <t>Finance</t>
        </is>
      </c>
      <c r="H40" s="2" t="inlineStr">
        <is>
          <t>Basic</t>
        </is>
      </c>
      <c r="I40" s="2" t="n">
        <v>6</v>
      </c>
      <c r="J40" s="2" t="n">
        <v>6</v>
      </c>
      <c r="K40" s="2" t="n">
        <v>0</v>
      </c>
      <c r="L40" s="2" t="inlineStr">
        <is>
          <t>Y</t>
        </is>
      </c>
      <c r="M40" s="3" t="n">
        <v>46276</v>
      </c>
      <c r="N40" s="2" t="inlineStr">
        <is>
          <t>CPE Desk - Priya</t>
        </is>
      </c>
      <c r="O40" s="2" t="inlineStr">
        <is>
          <t>Approved</t>
        </is>
      </c>
    </row>
    <row r="41">
      <c r="A41" s="4" t="inlineStr">
        <is>
          <t>CPE-2026-040</t>
        </is>
      </c>
      <c r="B41" s="4" t="inlineStr">
        <is>
          <t>Introduction to Ethical Decision Making</t>
        </is>
      </c>
      <c r="C41" s="4" t="inlineStr">
        <is>
          <t>Paul Mbeki</t>
        </is>
      </c>
      <c r="D41" s="5" t="n">
        <v>46305</v>
      </c>
      <c r="E41" s="4" t="inlineStr">
        <is>
          <t>Group</t>
        </is>
      </c>
      <c r="F41" s="4" t="n">
        <v>180</v>
      </c>
      <c r="G41" s="4" t="inlineStr">
        <is>
          <t>Information Technology</t>
        </is>
      </c>
      <c r="H41" s="4" t="inlineStr">
        <is>
          <t>Advanced</t>
        </is>
      </c>
      <c r="I41" s="4" t="n">
        <v>9</v>
      </c>
      <c r="J41" s="4" t="n">
        <v>11</v>
      </c>
      <c r="K41" s="4" t="n">
        <v>0</v>
      </c>
      <c r="L41" s="4" t="inlineStr">
        <is>
          <t>Y</t>
        </is>
      </c>
      <c r="M41" s="5" t="n">
        <v>46310</v>
      </c>
      <c r="N41" s="4" t="inlineStr">
        <is>
          <t>CPE Desk - Luis</t>
        </is>
      </c>
      <c r="O41" s="4" t="inlineStr">
        <is>
          <t>Needs Correction</t>
        </is>
      </c>
    </row>
    <row r="42">
      <c r="A42" s="8" t="inlineStr">
        <is>
          <t>CPE-2026-041</t>
        </is>
      </c>
      <c r="B42" s="8" t="inlineStr">
        <is>
          <t>Workshop: Ethical Decision Making</t>
        </is>
      </c>
      <c r="C42" s="8" t="inlineStr">
        <is>
          <t>Elena Voss</t>
        </is>
      </c>
      <c r="D42" s="9" t="n">
        <v>46307</v>
      </c>
      <c r="E42" s="8" t="inlineStr">
        <is>
          <t>Group</t>
        </is>
      </c>
      <c r="F42" s="8" t="n">
        <v>45</v>
      </c>
      <c r="G42" s="8" t="inlineStr"/>
      <c r="H42" s="8" t="inlineStr">
        <is>
          <t>Basic</t>
        </is>
      </c>
      <c r="I42" s="8" t="n">
        <v>3</v>
      </c>
      <c r="J42" s="8" t="n">
        <v>3</v>
      </c>
      <c r="K42" s="8" t="n">
        <v>0</v>
      </c>
      <c r="L42" s="8" t="inlineStr">
        <is>
          <t>Y</t>
        </is>
      </c>
      <c r="M42" s="9" t="n">
        <v>46312</v>
      </c>
      <c r="N42" s="8" t="inlineStr">
        <is>
          <t>CPE Desk - Luis</t>
        </is>
      </c>
      <c r="O42" s="8" t="inlineStr">
        <is>
          <t>Escalate</t>
        </is>
      </c>
    </row>
    <row r="43">
      <c r="A43" s="6" t="inlineStr">
        <is>
          <t>CPE-2026-042</t>
        </is>
      </c>
      <c r="B43" s="6" t="inlineStr">
        <is>
          <t>Introduction to Financial Modeling</t>
        </is>
      </c>
      <c r="C43" s="6" t="inlineStr">
        <is>
          <t>Henry Reyes</t>
        </is>
      </c>
      <c r="D43" s="7" t="n">
        <v>46320</v>
      </c>
      <c r="E43" s="6" t="inlineStr">
        <is>
          <t>Group</t>
        </is>
      </c>
      <c r="F43" s="6" t="n">
        <v>180</v>
      </c>
      <c r="G43" s="6" t="inlineStr">
        <is>
          <t>Taxation</t>
        </is>
      </c>
      <c r="H43" s="6" t="inlineStr">
        <is>
          <t>Intermediate</t>
        </is>
      </c>
      <c r="I43" s="6" t="n">
        <v>11</v>
      </c>
      <c r="J43" s="6" t="n">
        <v>0</v>
      </c>
      <c r="K43" s="6" t="n">
        <v>0</v>
      </c>
      <c r="L43" s="6" t="inlineStr">
        <is>
          <t>N</t>
        </is>
      </c>
      <c r="M43" s="7" t="n">
        <v>46325</v>
      </c>
      <c r="N43" s="6" t="inlineStr">
        <is>
          <t>CPE Desk - Luis</t>
        </is>
      </c>
      <c r="O43" s="6" t="inlineStr">
        <is>
          <t>Pending</t>
        </is>
      </c>
    </row>
    <row r="44">
      <c r="A44" s="6" t="inlineStr">
        <is>
          <t>CPE-2026-043</t>
        </is>
      </c>
      <c r="B44" s="6" t="inlineStr">
        <is>
          <t>Introduction to Financial Modeling</t>
        </is>
      </c>
      <c r="C44" s="6" t="inlineStr">
        <is>
          <t>Henry Reyes</t>
        </is>
      </c>
      <c r="D44" s="7" t="n">
        <v>46319</v>
      </c>
      <c r="E44" s="6" t="inlineStr">
        <is>
          <t>Self-study</t>
        </is>
      </c>
      <c r="F44" s="6" t="n">
        <v>50</v>
      </c>
      <c r="G44" s="6" t="inlineStr">
        <is>
          <t>Economics</t>
        </is>
      </c>
      <c r="H44" s="6" t="inlineStr">
        <is>
          <t>Intermediate</t>
        </is>
      </c>
      <c r="I44" s="6" t="n">
        <v>3</v>
      </c>
      <c r="J44" s="6" t="n">
        <v>0</v>
      </c>
      <c r="K44" s="6" t="n">
        <v>3</v>
      </c>
      <c r="L44" s="6" t="inlineStr">
        <is>
          <t>N</t>
        </is>
      </c>
      <c r="M44" s="7" t="n">
        <v>46324</v>
      </c>
      <c r="N44" s="6" t="inlineStr">
        <is>
          <t>CPE Desk - Omar</t>
        </is>
      </c>
      <c r="O44" s="6" t="inlineStr">
        <is>
          <t>Pending</t>
        </is>
      </c>
    </row>
    <row r="45">
      <c r="A45" s="2" t="inlineStr">
        <is>
          <t>CPE-2026-044</t>
        </is>
      </c>
      <c r="B45" s="2" t="inlineStr">
        <is>
          <t>Current Issues in Lease Accounting</t>
        </is>
      </c>
      <c r="C45" s="2" t="inlineStr">
        <is>
          <t>Henry Reyes</t>
        </is>
      </c>
      <c r="D45" s="3" t="n">
        <v>46306</v>
      </c>
      <c r="E45" s="2" t="inlineStr">
        <is>
          <t>Group</t>
        </is>
      </c>
      <c r="F45" s="2" t="n">
        <v>90</v>
      </c>
      <c r="G45" s="2" t="inlineStr">
        <is>
          <t>Economics</t>
        </is>
      </c>
      <c r="H45" s="2" t="inlineStr">
        <is>
          <t>Basic</t>
        </is>
      </c>
      <c r="I45" s="2" t="n">
        <v>6</v>
      </c>
      <c r="J45" s="2" t="n">
        <v>6</v>
      </c>
      <c r="K45" s="2" t="n">
        <v>0</v>
      </c>
      <c r="L45" s="2" t="inlineStr">
        <is>
          <t>N</t>
        </is>
      </c>
      <c r="M45" s="3" t="n">
        <v>46311</v>
      </c>
      <c r="N45" s="2" t="inlineStr">
        <is>
          <t>CPE Desk - Omar</t>
        </is>
      </c>
      <c r="O45" s="2" t="inlineStr">
        <is>
          <t>Approved</t>
        </is>
      </c>
    </row>
    <row r="46">
      <c r="A46" s="4" t="inlineStr">
        <is>
          <t>CPE-2026-045</t>
        </is>
      </c>
      <c r="B46" s="4" t="inlineStr">
        <is>
          <t>Deep Dive into Estate Planning</t>
        </is>
      </c>
      <c r="C46" s="4" t="inlineStr">
        <is>
          <t>Rachel Novak</t>
        </is>
      </c>
      <c r="D46" s="5" t="n">
        <v>46271</v>
      </c>
      <c r="E46" s="4" t="inlineStr">
        <is>
          <t>Group</t>
        </is>
      </c>
      <c r="F46" s="4" t="n">
        <v>49</v>
      </c>
      <c r="G46" s="4" t="inlineStr">
        <is>
          <t>Finance</t>
        </is>
      </c>
      <c r="H46" s="4" t="inlineStr">
        <is>
          <t>Intermediate</t>
        </is>
      </c>
      <c r="I46" s="4" t="n">
        <v>3</v>
      </c>
      <c r="J46" s="4" t="n">
        <v>0</v>
      </c>
      <c r="K46" s="4" t="n">
        <v>0</v>
      </c>
      <c r="L46" s="4" t="inlineStr">
        <is>
          <t>Y</t>
        </is>
      </c>
      <c r="M46" s="5" t="n">
        <v>46276</v>
      </c>
      <c r="N46" s="4" t="inlineStr">
        <is>
          <t>CPE Desk - Omar</t>
        </is>
      </c>
      <c r="O46" s="4" t="inlineStr">
        <is>
          <t>Needs Correction</t>
        </is>
      </c>
    </row>
    <row r="47">
      <c r="A47" s="2" t="inlineStr">
        <is>
          <t>CPE-2026-046</t>
        </is>
      </c>
      <c r="B47" s="2" t="inlineStr">
        <is>
          <t>Advanced Auditing Standards</t>
        </is>
      </c>
      <c r="C47" s="2" t="inlineStr">
        <is>
          <t>Nate Johansson</t>
        </is>
      </c>
      <c r="D47" s="3" t="n">
        <v>46287</v>
      </c>
      <c r="E47" s="2" t="inlineStr">
        <is>
          <t>Self-study</t>
        </is>
      </c>
      <c r="F47" s="2" t="n">
        <v>150</v>
      </c>
      <c r="G47" s="2" t="inlineStr">
        <is>
          <t>Accounting</t>
        </is>
      </c>
      <c r="H47" s="2" t="inlineStr">
        <is>
          <t>Basic</t>
        </is>
      </c>
      <c r="I47" s="2" t="n">
        <v>9</v>
      </c>
      <c r="J47" s="2" t="n">
        <v>0</v>
      </c>
      <c r="K47" s="2" t="n">
        <v>9</v>
      </c>
      <c r="L47" s="2" t="inlineStr">
        <is>
          <t>N</t>
        </is>
      </c>
      <c r="M47" s="3" t="n">
        <v>46292</v>
      </c>
      <c r="N47" s="2" t="inlineStr">
        <is>
          <t>CPE Desk - Luis</t>
        </is>
      </c>
      <c r="O47" s="2" t="inlineStr">
        <is>
          <t>Approved</t>
        </is>
      </c>
    </row>
    <row r="48">
      <c r="A48" s="2" t="inlineStr">
        <is>
          <t>CPE-2026-047</t>
        </is>
      </c>
      <c r="B48" s="2" t="inlineStr">
        <is>
          <t>Current Issues in GAAP Updates</t>
        </is>
      </c>
      <c r="C48" s="2" t="inlineStr">
        <is>
          <t>Sam Adeyemi</t>
        </is>
      </c>
      <c r="D48" s="3" t="n">
        <v>46290</v>
      </c>
      <c r="E48" s="2" t="inlineStr">
        <is>
          <t>Self-study</t>
        </is>
      </c>
      <c r="F48" s="2" t="n">
        <v>20</v>
      </c>
      <c r="G48" s="2" t="inlineStr">
        <is>
          <t>Management</t>
        </is>
      </c>
      <c r="H48" s="2" t="inlineStr">
        <is>
          <t>Intermediate</t>
        </is>
      </c>
      <c r="I48" s="2" t="n">
        <v>2</v>
      </c>
      <c r="J48" s="2" t="n">
        <v>0</v>
      </c>
      <c r="K48" s="2" t="n">
        <v>1</v>
      </c>
      <c r="L48" s="2" t="inlineStr">
        <is>
          <t>N</t>
        </is>
      </c>
      <c r="M48" s="3" t="n">
        <v>46295</v>
      </c>
      <c r="N48" s="2" t="inlineStr">
        <is>
          <t>CPE Desk - Luis</t>
        </is>
      </c>
      <c r="O48" s="2" t="inlineStr">
        <is>
          <t>Approved</t>
        </is>
      </c>
    </row>
    <row r="49">
      <c r="A49" s="6" t="inlineStr">
        <is>
          <t>CPE-2026-048</t>
        </is>
      </c>
      <c r="B49" s="6" t="inlineStr">
        <is>
          <t>Foundations of Financial Modeling</t>
        </is>
      </c>
      <c r="C49" s="6" t="inlineStr">
        <is>
          <t>Tina Williams</t>
        </is>
      </c>
      <c r="D49" s="7" t="n">
        <v>46323</v>
      </c>
      <c r="E49" s="6" t="inlineStr">
        <is>
          <t>Group</t>
        </is>
      </c>
      <c r="F49" s="6" t="n">
        <v>200</v>
      </c>
      <c r="G49" s="6" t="inlineStr">
        <is>
          <t>Finance</t>
        </is>
      </c>
      <c r="H49" s="6" t="inlineStr">
        <is>
          <t>Intermediate</t>
        </is>
      </c>
      <c r="I49" s="6" t="n">
        <v>12</v>
      </c>
      <c r="J49" s="6" t="n">
        <v>12</v>
      </c>
      <c r="K49" s="6" t="n">
        <v>0</v>
      </c>
      <c r="L49" s="6" t="inlineStr">
        <is>
          <t>N</t>
        </is>
      </c>
      <c r="M49" s="7" t="n">
        <v>46328</v>
      </c>
      <c r="N49" s="6" t="inlineStr">
        <is>
          <t>CPE Desk - Luis</t>
        </is>
      </c>
      <c r="O49" s="6" t="inlineStr">
        <is>
          <t>Pending</t>
        </is>
      </c>
    </row>
    <row r="50">
      <c r="A50" s="4" t="inlineStr">
        <is>
          <t>CPE-2026-049</t>
        </is>
      </c>
      <c r="B50" s="4" t="inlineStr">
        <is>
          <t>Introduction to QuickBooks Pro</t>
        </is>
      </c>
      <c r="C50" s="4" t="inlineStr">
        <is>
          <t>Karen Li</t>
        </is>
      </c>
      <c r="D50" s="5" t="n">
        <v>46308</v>
      </c>
      <c r="E50" s="4" t="inlineStr">
        <is>
          <t>Self-study</t>
        </is>
      </c>
      <c r="F50" s="4" t="n">
        <v>50</v>
      </c>
      <c r="G50" s="4" t="inlineStr">
        <is>
          <t>Economics</t>
        </is>
      </c>
      <c r="H50" s="4" t="inlineStr">
        <is>
          <t>Basic</t>
        </is>
      </c>
      <c r="I50" s="4" t="n">
        <v>0</v>
      </c>
      <c r="J50" s="4" t="n">
        <v>0</v>
      </c>
      <c r="K50" s="4" t="n">
        <v>3</v>
      </c>
      <c r="L50" s="4" t="inlineStr">
        <is>
          <t>Y</t>
        </is>
      </c>
      <c r="M50" s="5" t="n">
        <v>46313</v>
      </c>
      <c r="N50" s="4" t="inlineStr">
        <is>
          <t>CPE Desk - Luis</t>
        </is>
      </c>
      <c r="O50" s="4" t="inlineStr">
        <is>
          <t>Needs Correction</t>
        </is>
      </c>
    </row>
    <row r="51">
      <c r="A51" s="8" t="inlineStr">
        <is>
          <t>CPE-2026-050</t>
        </is>
      </c>
      <c r="B51" s="8" t="inlineStr">
        <is>
          <t>Current Issues in GAAP Updates</t>
        </is>
      </c>
      <c r="C51" s="8" t="inlineStr">
        <is>
          <t>Clara Singh</t>
        </is>
      </c>
      <c r="D51" s="9" t="n">
        <v>46307</v>
      </c>
      <c r="E51" s="8" t="inlineStr">
        <is>
          <t>Self-study</t>
        </is>
      </c>
      <c r="F51" s="8" t="n">
        <v>49</v>
      </c>
      <c r="G51" s="8" t="inlineStr"/>
      <c r="H51" s="8" t="inlineStr">
        <is>
          <t>Basic</t>
        </is>
      </c>
      <c r="I51" s="8" t="n">
        <v>3</v>
      </c>
      <c r="J51" s="8" t="n">
        <v>0</v>
      </c>
      <c r="K51" s="8" t="n">
        <v>2</v>
      </c>
      <c r="L51" s="8" t="inlineStr">
        <is>
          <t>Y</t>
        </is>
      </c>
      <c r="M51" s="9" t="n">
        <v>46312</v>
      </c>
      <c r="N51" s="8" t="inlineStr">
        <is>
          <t>CPE Desk - Sarah</t>
        </is>
      </c>
      <c r="O51" s="8" t="inlineStr">
        <is>
          <t>Escalate</t>
        </is>
      </c>
    </row>
    <row r="52">
      <c r="A52" s="2" t="inlineStr">
        <is>
          <t>CPE-2026-051</t>
        </is>
      </c>
      <c r="B52" s="2" t="inlineStr">
        <is>
          <t>Workshop: Estate Planning</t>
        </is>
      </c>
      <c r="C52" s="2" t="inlineStr">
        <is>
          <t>Grace Patel</t>
        </is>
      </c>
      <c r="D52" s="3" t="n">
        <v>46295</v>
      </c>
      <c r="E52" s="2" t="inlineStr">
        <is>
          <t>Self-study</t>
        </is>
      </c>
      <c r="F52" s="2" t="n">
        <v>110</v>
      </c>
      <c r="G52" s="2" t="inlineStr">
        <is>
          <t>Information Technology</t>
        </is>
      </c>
      <c r="H52" s="2" t="inlineStr">
        <is>
          <t>Intermediate</t>
        </is>
      </c>
      <c r="I52" s="2" t="n">
        <v>7</v>
      </c>
      <c r="J52" s="2" t="n">
        <v>0</v>
      </c>
      <c r="K52" s="2" t="n">
        <v>6</v>
      </c>
      <c r="L52" s="2" t="inlineStr">
        <is>
          <t>N</t>
        </is>
      </c>
      <c r="M52" s="3" t="n">
        <v>46300</v>
      </c>
      <c r="N52" s="2" t="inlineStr">
        <is>
          <t>CPE Desk - Sarah</t>
        </is>
      </c>
      <c r="O52" s="2" t="inlineStr">
        <is>
          <t>Approved</t>
        </is>
      </c>
    </row>
    <row r="53">
      <c r="A53" s="2" t="inlineStr">
        <is>
          <t>CPE-2026-052</t>
        </is>
      </c>
      <c r="B53" s="2" t="inlineStr">
        <is>
          <t>Advanced SOX Compliance</t>
        </is>
      </c>
      <c r="C53" s="2" t="inlineStr">
        <is>
          <t>Alice Morrow</t>
        </is>
      </c>
      <c r="D53" s="3" t="n">
        <v>46313</v>
      </c>
      <c r="E53" s="2" t="inlineStr">
        <is>
          <t>Group</t>
        </is>
      </c>
      <c r="F53" s="2" t="n">
        <v>120</v>
      </c>
      <c r="G53" s="2" t="inlineStr">
        <is>
          <t>Finance</t>
        </is>
      </c>
      <c r="H53" s="2" t="inlineStr">
        <is>
          <t>Advanced</t>
        </is>
      </c>
      <c r="I53" s="2" t="n">
        <v>8</v>
      </c>
      <c r="J53" s="2" t="n">
        <v>8</v>
      </c>
      <c r="K53" s="2" t="n">
        <v>0</v>
      </c>
      <c r="L53" s="2" t="inlineStr">
        <is>
          <t>Y</t>
        </is>
      </c>
      <c r="M53" s="3" t="n">
        <v>46318</v>
      </c>
      <c r="N53" s="2" t="inlineStr">
        <is>
          <t>CPE Desk - Priya</t>
        </is>
      </c>
      <c r="O53" s="2" t="inlineStr">
        <is>
          <t>Approved</t>
        </is>
      </c>
    </row>
    <row r="54">
      <c r="A54" s="6" t="inlineStr">
        <is>
          <t>CPE-2026-053</t>
        </is>
      </c>
      <c r="B54" s="6" t="inlineStr">
        <is>
          <t>Introduction to Ethical Decision Making</t>
        </is>
      </c>
      <c r="C54" s="6" t="inlineStr">
        <is>
          <t>Grace Patel</t>
        </is>
      </c>
      <c r="D54" s="7" t="n">
        <v>46319</v>
      </c>
      <c r="E54" s="6" t="inlineStr">
        <is>
          <t>Group</t>
        </is>
      </c>
      <c r="F54" s="6" t="n">
        <v>49</v>
      </c>
      <c r="G54" s="6" t="inlineStr">
        <is>
          <t>Finance</t>
        </is>
      </c>
      <c r="H54" s="6" t="inlineStr">
        <is>
          <t>Basic</t>
        </is>
      </c>
      <c r="I54" s="6" t="n">
        <v>0</v>
      </c>
      <c r="J54" s="6" t="n">
        <v>3</v>
      </c>
      <c r="K54" s="6" t="n">
        <v>0</v>
      </c>
      <c r="L54" s="6" t="inlineStr">
        <is>
          <t>N</t>
        </is>
      </c>
      <c r="M54" s="7" t="n">
        <v>46324</v>
      </c>
      <c r="N54" s="6" t="inlineStr">
        <is>
          <t>CPE Desk - Priya</t>
        </is>
      </c>
      <c r="O54" s="6" t="inlineStr">
        <is>
          <t>Pending</t>
        </is>
      </c>
    </row>
    <row r="55">
      <c r="A55" s="2" t="inlineStr">
        <is>
          <t>CPE-2026-054</t>
        </is>
      </c>
      <c r="B55" s="2" t="inlineStr">
        <is>
          <t>Mastering Internal Controls</t>
        </is>
      </c>
      <c r="C55" s="2" t="inlineStr">
        <is>
          <t>Irene Schultz</t>
        </is>
      </c>
      <c r="D55" s="3" t="n">
        <v>46315</v>
      </c>
      <c r="E55" s="2" t="inlineStr">
        <is>
          <t>Self-study</t>
        </is>
      </c>
      <c r="F55" s="2" t="n">
        <v>50</v>
      </c>
      <c r="G55" s="2" t="inlineStr">
        <is>
          <t>Specialized Knowledge</t>
        </is>
      </c>
      <c r="H55" s="2" t="inlineStr">
        <is>
          <t>Advanced</t>
        </is>
      </c>
      <c r="I55" s="2" t="n">
        <v>3</v>
      </c>
      <c r="J55" s="2" t="n">
        <v>0</v>
      </c>
      <c r="K55" s="2" t="n">
        <v>3</v>
      </c>
      <c r="L55" s="2" t="inlineStr">
        <is>
          <t>Y</t>
        </is>
      </c>
      <c r="M55" s="3" t="n">
        <v>46320</v>
      </c>
      <c r="N55" s="2" t="inlineStr">
        <is>
          <t>CPE Desk - Omar</t>
        </is>
      </c>
      <c r="O55" s="2" t="inlineStr">
        <is>
          <t>Approved</t>
        </is>
      </c>
    </row>
    <row r="56">
      <c r="A56" s="4" t="inlineStr">
        <is>
          <t>CPE-2026-055</t>
        </is>
      </c>
      <c r="B56" s="4" t="inlineStr">
        <is>
          <t>Essentials of Tax Reform</t>
        </is>
      </c>
      <c r="C56" s="4" t="inlineStr">
        <is>
          <t>Sam Adeyemi</t>
        </is>
      </c>
      <c r="D56" s="5" t="n">
        <v>46267</v>
      </c>
      <c r="E56" s="4" t="inlineStr">
        <is>
          <t>Self-study</t>
        </is>
      </c>
      <c r="F56" s="4" t="n">
        <v>140</v>
      </c>
      <c r="G56" s="4" t="inlineStr">
        <is>
          <t>Information Technology</t>
        </is>
      </c>
      <c r="H56" s="4" t="inlineStr">
        <is>
          <t>Advanced</t>
        </is>
      </c>
      <c r="I56" s="4" t="n">
        <v>9</v>
      </c>
      <c r="J56" s="4" t="n">
        <v>0</v>
      </c>
      <c r="K56" s="4" t="n">
        <v>8</v>
      </c>
      <c r="L56" s="4" t="inlineStr">
        <is>
          <t>Y</t>
        </is>
      </c>
      <c r="M56" s="5" t="n">
        <v>46272</v>
      </c>
      <c r="N56" s="4" t="inlineStr">
        <is>
          <t>CPE Desk - Priya</t>
        </is>
      </c>
      <c r="O56" s="4" t="inlineStr">
        <is>
          <t>Needs Correction</t>
        </is>
      </c>
    </row>
    <row r="57">
      <c r="A57" s="2" t="inlineStr">
        <is>
          <t>CPE-2026-056</t>
        </is>
      </c>
      <c r="B57" s="2" t="inlineStr">
        <is>
          <t>Advanced Auditing Standards</t>
        </is>
      </c>
      <c r="C57" s="2" t="inlineStr">
        <is>
          <t>Nate Johansson</t>
        </is>
      </c>
      <c r="D57" s="3" t="n">
        <v>46310</v>
      </c>
      <c r="E57" s="2" t="inlineStr">
        <is>
          <t>Self-study</t>
        </is>
      </c>
      <c r="F57" s="2" t="n">
        <v>45</v>
      </c>
      <c r="G57" s="2" t="inlineStr">
        <is>
          <t>Specialized Knowledge</t>
        </is>
      </c>
      <c r="H57" s="2" t="inlineStr">
        <is>
          <t>Basic</t>
        </is>
      </c>
      <c r="I57" s="2" t="n">
        <v>3</v>
      </c>
      <c r="J57" s="2" t="n">
        <v>0</v>
      </c>
      <c r="K57" s="2" t="n">
        <v>2</v>
      </c>
      <c r="L57" s="2" t="inlineStr">
        <is>
          <t>N</t>
        </is>
      </c>
      <c r="M57" s="3" t="n">
        <v>46315</v>
      </c>
      <c r="N57" s="2" t="inlineStr">
        <is>
          <t>CPE Desk - Luis</t>
        </is>
      </c>
      <c r="O57" s="2" t="inlineStr">
        <is>
          <t>Approved</t>
        </is>
      </c>
    </row>
    <row r="58">
      <c r="A58" s="2" t="inlineStr">
        <is>
          <t>CPE-2026-057</t>
        </is>
      </c>
      <c r="B58" s="2" t="inlineStr">
        <is>
          <t>Deep Dive into Lease Accounting</t>
        </is>
      </c>
      <c r="C58" s="2" t="inlineStr">
        <is>
          <t>Quinn Torres</t>
        </is>
      </c>
      <c r="D58" s="3" t="n">
        <v>46307</v>
      </c>
      <c r="E58" s="2" t="inlineStr">
        <is>
          <t>Self-study</t>
        </is>
      </c>
      <c r="F58" s="2" t="n">
        <v>20</v>
      </c>
      <c r="G58" s="2" t="inlineStr">
        <is>
          <t>Information Technology</t>
        </is>
      </c>
      <c r="H58" s="2" t="inlineStr">
        <is>
          <t>Intermediate</t>
        </is>
      </c>
      <c r="I58" s="2" t="n">
        <v>2</v>
      </c>
      <c r="J58" s="2" t="n">
        <v>0</v>
      </c>
      <c r="K58" s="2" t="n">
        <v>1</v>
      </c>
      <c r="L58" s="2" t="inlineStr">
        <is>
          <t>Y</t>
        </is>
      </c>
      <c r="M58" s="3" t="n">
        <v>46312</v>
      </c>
      <c r="N58" s="2" t="inlineStr">
        <is>
          <t>CPE Desk - Luis</t>
        </is>
      </c>
      <c r="O58" s="2" t="inlineStr">
        <is>
          <t>Approved</t>
        </is>
      </c>
    </row>
    <row r="59">
      <c r="A59" s="2" t="inlineStr">
        <is>
          <t>CPE-2026-058</t>
        </is>
      </c>
      <c r="B59" s="2" t="inlineStr">
        <is>
          <t>Deep Dive into Internal Controls</t>
        </is>
      </c>
      <c r="C59" s="2" t="inlineStr">
        <is>
          <t>Elena Voss</t>
        </is>
      </c>
      <c r="D59" s="3" t="n">
        <v>46293</v>
      </c>
      <c r="E59" s="2" t="inlineStr">
        <is>
          <t>Group</t>
        </is>
      </c>
      <c r="F59" s="2" t="n">
        <v>90</v>
      </c>
      <c r="G59" s="2" t="inlineStr">
        <is>
          <t>Specialized Knowledge</t>
        </is>
      </c>
      <c r="H59" s="2" t="inlineStr">
        <is>
          <t>Advanced</t>
        </is>
      </c>
      <c r="I59" s="2" t="n">
        <v>6</v>
      </c>
      <c r="J59" s="2" t="n">
        <v>6</v>
      </c>
      <c r="K59" s="2" t="n">
        <v>0</v>
      </c>
      <c r="L59" s="2" t="inlineStr">
        <is>
          <t>N</t>
        </is>
      </c>
      <c r="M59" s="3" t="n">
        <v>46298</v>
      </c>
      <c r="N59" s="2" t="inlineStr">
        <is>
          <t>CPE Desk - Luis</t>
        </is>
      </c>
      <c r="O59" s="2" t="inlineStr">
        <is>
          <t>Approved</t>
        </is>
      </c>
    </row>
    <row r="60">
      <c r="A60" s="4" t="inlineStr">
        <is>
          <t>CPE-2026-059</t>
        </is>
      </c>
      <c r="B60" s="4" t="inlineStr">
        <is>
          <t>Workshop: Blockchain in Accounting</t>
        </is>
      </c>
      <c r="C60" s="4" t="inlineStr">
        <is>
          <t>Irene Schultz</t>
        </is>
      </c>
      <c r="D60" s="5" t="n">
        <v>46286</v>
      </c>
      <c r="E60" s="4" t="inlineStr">
        <is>
          <t>Group</t>
        </is>
      </c>
      <c r="F60" s="4" t="n">
        <v>30</v>
      </c>
      <c r="G60" s="4" t="inlineStr">
        <is>
          <t>Ethics</t>
        </is>
      </c>
      <c r="H60" s="4" t="inlineStr">
        <is>
          <t>Intermediate</t>
        </is>
      </c>
      <c r="I60" s="4" t="n">
        <v>2</v>
      </c>
      <c r="J60" s="4" t="n">
        <v>0</v>
      </c>
      <c r="K60" s="4" t="n">
        <v>0</v>
      </c>
      <c r="L60" s="4" t="inlineStr">
        <is>
          <t>Y</t>
        </is>
      </c>
      <c r="M60" s="5" t="n">
        <v>46291</v>
      </c>
      <c r="N60" s="4" t="inlineStr">
        <is>
          <t>CPE Desk - Luis</t>
        </is>
      </c>
      <c r="O60" s="4" t="inlineStr">
        <is>
          <t>Needs Correction</t>
        </is>
      </c>
    </row>
    <row r="61">
      <c r="A61" s="2" t="inlineStr">
        <is>
          <t>CPE-2026-060</t>
        </is>
      </c>
      <c r="B61" s="2" t="inlineStr">
        <is>
          <t>Current Issues in Remote Audit Techniques</t>
        </is>
      </c>
      <c r="C61" s="2" t="inlineStr">
        <is>
          <t>Maya Brooks</t>
        </is>
      </c>
      <c r="D61" s="3" t="n">
        <v>46287</v>
      </c>
      <c r="E61" s="2" t="inlineStr">
        <is>
          <t>Group</t>
        </is>
      </c>
      <c r="F61" s="2" t="n">
        <v>200</v>
      </c>
      <c r="G61" s="2" t="inlineStr">
        <is>
          <t>Management</t>
        </is>
      </c>
      <c r="H61" s="2" t="inlineStr">
        <is>
          <t>Basic</t>
        </is>
      </c>
      <c r="I61" s="2" t="n">
        <v>12</v>
      </c>
      <c r="J61" s="2" t="n">
        <v>12</v>
      </c>
      <c r="K61" s="2" t="n">
        <v>0</v>
      </c>
      <c r="L61" s="2" t="inlineStr">
        <is>
          <t>N</t>
        </is>
      </c>
      <c r="M61" s="3" t="n">
        <v>46292</v>
      </c>
      <c r="N61" s="2" t="inlineStr">
        <is>
          <t>CPE Desk - Omar</t>
        </is>
      </c>
      <c r="O61" s="2" t="inlineStr">
        <is>
          <t>Approved</t>
        </is>
      </c>
    </row>
    <row r="62">
      <c r="A62" s="4" t="inlineStr">
        <is>
          <t>CPE-2026-061</t>
        </is>
      </c>
      <c r="B62" s="4" t="inlineStr">
        <is>
          <t>Deep Dive into Excel for Accountants</t>
        </is>
      </c>
      <c r="C62" s="4" t="inlineStr">
        <is>
          <t>Karen Li</t>
        </is>
      </c>
      <c r="D62" s="5" t="n">
        <v>46283</v>
      </c>
      <c r="E62" s="4" t="inlineStr">
        <is>
          <t>Self-study</t>
        </is>
      </c>
      <c r="F62" s="4" t="n">
        <v>20</v>
      </c>
      <c r="G62" s="4" t="inlineStr">
        <is>
          <t>Business Law</t>
        </is>
      </c>
      <c r="H62" s="4" t="inlineStr">
        <is>
          <t>Basic</t>
        </is>
      </c>
      <c r="I62" s="4" t="n">
        <v>2</v>
      </c>
      <c r="J62" s="4" t="n">
        <v>0</v>
      </c>
      <c r="K62" s="4" t="n">
        <v>1</v>
      </c>
      <c r="L62" s="4" t="inlineStr">
        <is>
          <t>Y</t>
        </is>
      </c>
      <c r="M62" s="5" t="n">
        <v>46288</v>
      </c>
      <c r="N62" s="4" t="inlineStr">
        <is>
          <t>CPE Desk - Omar</t>
        </is>
      </c>
      <c r="O62" s="4" t="inlineStr">
        <is>
          <t>Needs Correction</t>
        </is>
      </c>
    </row>
    <row r="63">
      <c r="A63" s="4" t="inlineStr">
        <is>
          <t>CPE-2026-062</t>
        </is>
      </c>
      <c r="B63" s="4" t="inlineStr">
        <is>
          <t>Workshop: SOX Compliance</t>
        </is>
      </c>
      <c r="C63" s="4" t="inlineStr">
        <is>
          <t>Rachel Novak</t>
        </is>
      </c>
      <c r="D63" s="5" t="n">
        <v>46314</v>
      </c>
      <c r="E63" s="4" t="inlineStr">
        <is>
          <t>Group</t>
        </is>
      </c>
      <c r="F63" s="4" t="n">
        <v>200</v>
      </c>
      <c r="G63" s="4" t="inlineStr">
        <is>
          <t>Economics</t>
        </is>
      </c>
      <c r="H63" s="4" t="inlineStr">
        <is>
          <t>Intermediate</t>
        </is>
      </c>
      <c r="I63" s="4" t="n">
        <v>10</v>
      </c>
      <c r="J63" s="4" t="n">
        <v>12</v>
      </c>
      <c r="K63" s="4" t="n">
        <v>0</v>
      </c>
      <c r="L63" s="4" t="inlineStr">
        <is>
          <t>Y</t>
        </is>
      </c>
      <c r="M63" s="5" t="n">
        <v>46319</v>
      </c>
      <c r="N63" s="4" t="inlineStr">
        <is>
          <t>CPE Desk - Priya</t>
        </is>
      </c>
      <c r="O63" s="4" t="inlineStr">
        <is>
          <t>Needs Correction</t>
        </is>
      </c>
    </row>
    <row r="64">
      <c r="A64" s="4" t="inlineStr">
        <is>
          <t>CPE-2026-063</t>
        </is>
      </c>
      <c r="B64" s="4" t="inlineStr">
        <is>
          <t>Mastering QuickBooks Pro</t>
        </is>
      </c>
      <c r="C64" s="4" t="inlineStr">
        <is>
          <t>Henry Reyes</t>
        </is>
      </c>
      <c r="D64" s="5" t="n">
        <v>46285</v>
      </c>
      <c r="E64" s="4" t="inlineStr">
        <is>
          <t>Self-study</t>
        </is>
      </c>
      <c r="F64" s="4" t="n">
        <v>200</v>
      </c>
      <c r="G64" s="4" t="inlineStr">
        <is>
          <t>Business Law</t>
        </is>
      </c>
      <c r="H64" s="4" t="inlineStr">
        <is>
          <t>Advanced</t>
        </is>
      </c>
      <c r="I64" s="4" t="n">
        <v>9</v>
      </c>
      <c r="J64" s="4" t="n">
        <v>0</v>
      </c>
      <c r="K64" s="4" t="n">
        <v>12</v>
      </c>
      <c r="L64" s="4" t="inlineStr">
        <is>
          <t>N</t>
        </is>
      </c>
      <c r="M64" s="5" t="n">
        <v>46290</v>
      </c>
      <c r="N64" s="4" t="inlineStr">
        <is>
          <t>CPE Desk - Luis</t>
        </is>
      </c>
      <c r="O64" s="4" t="inlineStr">
        <is>
          <t>Needs Correction</t>
        </is>
      </c>
    </row>
    <row r="65">
      <c r="A65" s="2" t="inlineStr">
        <is>
          <t>CPE-2026-064</t>
        </is>
      </c>
      <c r="B65" s="2" t="inlineStr">
        <is>
          <t>Foundations of Estate Planning</t>
        </is>
      </c>
      <c r="C65" s="2" t="inlineStr">
        <is>
          <t>Leo Fernandez</t>
        </is>
      </c>
      <c r="D65" s="3" t="n">
        <v>46310</v>
      </c>
      <c r="E65" s="2" t="inlineStr">
        <is>
          <t>Self-study</t>
        </is>
      </c>
      <c r="F65" s="2" t="n">
        <v>90</v>
      </c>
      <c r="G65" s="2" t="inlineStr">
        <is>
          <t>Ethics</t>
        </is>
      </c>
      <c r="H65" s="2" t="inlineStr">
        <is>
          <t>Intermediate</t>
        </is>
      </c>
      <c r="I65" s="2" t="n">
        <v>6</v>
      </c>
      <c r="J65" s="2" t="n">
        <v>0</v>
      </c>
      <c r="K65" s="2" t="n">
        <v>5</v>
      </c>
      <c r="L65" s="2" t="inlineStr">
        <is>
          <t>Y</t>
        </is>
      </c>
      <c r="M65" s="3" t="n">
        <v>46315</v>
      </c>
      <c r="N65" s="2" t="inlineStr">
        <is>
          <t>CPE Desk - Priya</t>
        </is>
      </c>
      <c r="O65" s="2" t="inlineStr">
        <is>
          <t>Approved</t>
        </is>
      </c>
    </row>
    <row r="66">
      <c r="A66" s="2" t="inlineStr">
        <is>
          <t>CPE-2026-065</t>
        </is>
      </c>
      <c r="B66" s="2" t="inlineStr">
        <is>
          <t>Mastering Estate Planning</t>
        </is>
      </c>
      <c r="C66" s="2" t="inlineStr">
        <is>
          <t>David Okonkwo</t>
        </is>
      </c>
      <c r="D66" s="3" t="n">
        <v>46313</v>
      </c>
      <c r="E66" s="2" t="inlineStr">
        <is>
          <t>Group</t>
        </is>
      </c>
      <c r="F66" s="2" t="n">
        <v>60</v>
      </c>
      <c r="G66" s="2" t="inlineStr">
        <is>
          <t>Finance</t>
        </is>
      </c>
      <c r="H66" s="2" t="inlineStr">
        <is>
          <t>Advanced</t>
        </is>
      </c>
      <c r="I66" s="2" t="n">
        <v>4</v>
      </c>
      <c r="J66" s="2" t="n">
        <v>4</v>
      </c>
      <c r="K66" s="2" t="n">
        <v>0</v>
      </c>
      <c r="L66" s="2" t="inlineStr">
        <is>
          <t>N</t>
        </is>
      </c>
      <c r="M66" s="3" t="n">
        <v>46318</v>
      </c>
      <c r="N66" s="2" t="inlineStr">
        <is>
          <t>CPE Desk - Sarah</t>
        </is>
      </c>
      <c r="O66" s="2" t="inlineStr">
        <is>
          <t>Approved</t>
        </is>
      </c>
    </row>
    <row r="67">
      <c r="A67" s="4" t="inlineStr">
        <is>
          <t>CPE-2026-066</t>
        </is>
      </c>
      <c r="B67" s="4" t="inlineStr">
        <is>
          <t>Current Issues in IFRS vs GAAP</t>
        </is>
      </c>
      <c r="C67" s="4" t="inlineStr">
        <is>
          <t>Tina Williams</t>
        </is>
      </c>
      <c r="D67" s="5" t="n">
        <v>46284</v>
      </c>
      <c r="E67" s="4" t="inlineStr">
        <is>
          <t>Group</t>
        </is>
      </c>
      <c r="F67" s="4" t="n">
        <v>60</v>
      </c>
      <c r="G67" s="4" t="inlineStr">
        <is>
          <t>Ethics</t>
        </is>
      </c>
      <c r="H67" s="4" t="inlineStr">
        <is>
          <t>Basic</t>
        </is>
      </c>
      <c r="I67" s="4" t="n">
        <v>4</v>
      </c>
      <c r="J67" s="4" t="n">
        <v>0</v>
      </c>
      <c r="K67" s="4" t="n">
        <v>0</v>
      </c>
      <c r="L67" s="4" t="inlineStr">
        <is>
          <t>N</t>
        </is>
      </c>
      <c r="M67" s="5" t="n">
        <v>46289</v>
      </c>
      <c r="N67" s="4" t="inlineStr">
        <is>
          <t>CPE Desk - Omar</t>
        </is>
      </c>
      <c r="O67" s="4" t="inlineStr">
        <is>
          <t>Needs Correction</t>
        </is>
      </c>
    </row>
    <row r="68">
      <c r="A68" s="2" t="inlineStr">
        <is>
          <t>CPE-2026-067</t>
        </is>
      </c>
      <c r="B68" s="2" t="inlineStr">
        <is>
          <t>Essentials of GAAP Updates</t>
        </is>
      </c>
      <c r="C68" s="2" t="inlineStr">
        <is>
          <t>Rachel Novak</t>
        </is>
      </c>
      <c r="D68" s="3" t="n">
        <v>46274</v>
      </c>
      <c r="E68" s="2" t="inlineStr">
        <is>
          <t>Self-study</t>
        </is>
      </c>
      <c r="F68" s="2" t="n">
        <v>25</v>
      </c>
      <c r="G68" s="2" t="inlineStr">
        <is>
          <t>Accounting</t>
        </is>
      </c>
      <c r="H68" s="2" t="inlineStr">
        <is>
          <t>Advanced</t>
        </is>
      </c>
      <c r="I68" s="2" t="n">
        <v>2</v>
      </c>
      <c r="J68" s="2" t="n">
        <v>0</v>
      </c>
      <c r="K68" s="2" t="n">
        <v>2</v>
      </c>
      <c r="L68" s="2" t="inlineStr">
        <is>
          <t>N</t>
        </is>
      </c>
      <c r="M68" s="3" t="n">
        <v>46279</v>
      </c>
      <c r="N68" s="2" t="inlineStr">
        <is>
          <t>CPE Desk - Omar</t>
        </is>
      </c>
      <c r="O68" s="2" t="inlineStr">
        <is>
          <t>Approved</t>
        </is>
      </c>
    </row>
    <row r="69">
      <c r="A69" s="2" t="inlineStr">
        <is>
          <t>CPE-2026-068</t>
        </is>
      </c>
      <c r="B69" s="2" t="inlineStr">
        <is>
          <t>Seminar: Tax Reform</t>
        </is>
      </c>
      <c r="C69" s="2" t="inlineStr">
        <is>
          <t>Alice Morrow</t>
        </is>
      </c>
      <c r="D69" s="3" t="n">
        <v>46302</v>
      </c>
      <c r="E69" s="2" t="inlineStr">
        <is>
          <t>Self-study</t>
        </is>
      </c>
      <c r="F69" s="2" t="n">
        <v>200</v>
      </c>
      <c r="G69" s="2" t="inlineStr">
        <is>
          <t>Economics</t>
        </is>
      </c>
      <c r="H69" s="2" t="inlineStr">
        <is>
          <t>Intermediate</t>
        </is>
      </c>
      <c r="I69" s="2" t="n">
        <v>12</v>
      </c>
      <c r="J69" s="2" t="n">
        <v>0</v>
      </c>
      <c r="K69" s="2" t="n">
        <v>12</v>
      </c>
      <c r="L69" s="2" t="inlineStr">
        <is>
          <t>N</t>
        </is>
      </c>
      <c r="M69" s="3" t="n">
        <v>46307</v>
      </c>
      <c r="N69" s="2" t="inlineStr">
        <is>
          <t>CPE Desk - Omar</t>
        </is>
      </c>
      <c r="O69" s="2" t="inlineStr">
        <is>
          <t>Approved</t>
        </is>
      </c>
    </row>
    <row r="70">
      <c r="A70" s="2" t="inlineStr">
        <is>
          <t>CPE-2026-069</t>
        </is>
      </c>
      <c r="B70" s="2" t="inlineStr">
        <is>
          <t>Introduction to Excel for Accountants</t>
        </is>
      </c>
      <c r="C70" s="2" t="inlineStr">
        <is>
          <t>Paul Mbeki</t>
        </is>
      </c>
      <c r="D70" s="3" t="n">
        <v>46273</v>
      </c>
      <c r="E70" s="2" t="inlineStr">
        <is>
          <t>Group</t>
        </is>
      </c>
      <c r="F70" s="2" t="n">
        <v>140</v>
      </c>
      <c r="G70" s="2" t="inlineStr">
        <is>
          <t>Economics</t>
        </is>
      </c>
      <c r="H70" s="2" t="inlineStr">
        <is>
          <t>Basic</t>
        </is>
      </c>
      <c r="I70" s="2" t="n">
        <v>9</v>
      </c>
      <c r="J70" s="2" t="n">
        <v>9</v>
      </c>
      <c r="K70" s="2" t="n">
        <v>0</v>
      </c>
      <c r="L70" s="2" t="inlineStr">
        <is>
          <t>Y</t>
        </is>
      </c>
      <c r="M70" s="3" t="n">
        <v>46278</v>
      </c>
      <c r="N70" s="2" t="inlineStr">
        <is>
          <t>CPE Desk - Omar</t>
        </is>
      </c>
      <c r="O70" s="2" t="inlineStr">
        <is>
          <t>Approved</t>
        </is>
      </c>
    </row>
    <row r="71">
      <c r="A71" s="4" t="inlineStr">
        <is>
          <t>CPE-2026-070</t>
        </is>
      </c>
      <c r="B71" s="4" t="inlineStr">
        <is>
          <t>Practical Blockchain in Accounting</t>
        </is>
      </c>
      <c r="C71" s="4" t="inlineStr">
        <is>
          <t>James Osei</t>
        </is>
      </c>
      <c r="D71" s="5" t="n">
        <v>46271</v>
      </c>
      <c r="E71" s="4" t="inlineStr">
        <is>
          <t>Group</t>
        </is>
      </c>
      <c r="F71" s="4" t="n">
        <v>45</v>
      </c>
      <c r="G71" s="4" t="inlineStr">
        <is>
          <t>Business Law</t>
        </is>
      </c>
      <c r="H71" s="4" t="inlineStr">
        <is>
          <t>Intermediate</t>
        </is>
      </c>
      <c r="I71" s="4" t="n">
        <v>3</v>
      </c>
      <c r="J71" s="4" t="n">
        <v>0</v>
      </c>
      <c r="K71" s="4" t="n">
        <v>0</v>
      </c>
      <c r="L71" s="4" t="inlineStr">
        <is>
          <t>Y</t>
        </is>
      </c>
      <c r="M71" s="5" t="n">
        <v>46276</v>
      </c>
      <c r="N71" s="4" t="inlineStr">
        <is>
          <t>CPE Desk - Luis</t>
        </is>
      </c>
      <c r="O71" s="4" t="inlineStr">
        <is>
          <t>Needs Correction</t>
        </is>
      </c>
    </row>
    <row r="72">
      <c r="A72" s="6" t="inlineStr">
        <is>
          <t>CPE-2026-071</t>
        </is>
      </c>
      <c r="B72" s="6" t="inlineStr">
        <is>
          <t>Seminar: Internal Controls</t>
        </is>
      </c>
      <c r="C72" s="6" t="inlineStr">
        <is>
          <t>James Osei</t>
        </is>
      </c>
      <c r="D72" s="7" t="n">
        <v>46321</v>
      </c>
      <c r="E72" s="6" t="inlineStr">
        <is>
          <t>Self-study</t>
        </is>
      </c>
      <c r="F72" s="6" t="n">
        <v>100</v>
      </c>
      <c r="G72" s="6" t="inlineStr">
        <is>
          <t>Specialized Knowledge</t>
        </is>
      </c>
      <c r="H72" s="6" t="inlineStr">
        <is>
          <t>Advanced</t>
        </is>
      </c>
      <c r="I72" s="6" t="n">
        <v>5</v>
      </c>
      <c r="J72" s="6" t="n">
        <v>0</v>
      </c>
      <c r="K72" s="6" t="n">
        <v>6</v>
      </c>
      <c r="L72" s="6" t="inlineStr">
        <is>
          <t>Y</t>
        </is>
      </c>
      <c r="M72" s="7" t="n">
        <v>46326</v>
      </c>
      <c r="N72" s="6" t="inlineStr">
        <is>
          <t>CPE Desk - Priya</t>
        </is>
      </c>
      <c r="O72" s="6" t="inlineStr">
        <is>
          <t>Pending</t>
        </is>
      </c>
    </row>
    <row r="73">
      <c r="A73" s="2" t="inlineStr">
        <is>
          <t>CPE-2026-072</t>
        </is>
      </c>
      <c r="B73" s="2" t="inlineStr">
        <is>
          <t>Mastering Excel for Accountants</t>
        </is>
      </c>
      <c r="C73" s="2" t="inlineStr">
        <is>
          <t>Clara Singh</t>
        </is>
      </c>
      <c r="D73" s="3" t="n">
        <v>46276</v>
      </c>
      <c r="E73" s="2" t="inlineStr">
        <is>
          <t>Group</t>
        </is>
      </c>
      <c r="F73" s="2" t="n">
        <v>50</v>
      </c>
      <c r="G73" s="2" t="inlineStr">
        <is>
          <t>Business Law</t>
        </is>
      </c>
      <c r="H73" s="2" t="inlineStr">
        <is>
          <t>Basic</t>
        </is>
      </c>
      <c r="I73" s="2" t="n">
        <v>3</v>
      </c>
      <c r="J73" s="2" t="n">
        <v>3</v>
      </c>
      <c r="K73" s="2" t="n">
        <v>0</v>
      </c>
      <c r="L73" s="2" t="inlineStr">
        <is>
          <t>Y</t>
        </is>
      </c>
      <c r="M73" s="3" t="n">
        <v>46281</v>
      </c>
      <c r="N73" s="2" t="inlineStr">
        <is>
          <t>CPE Desk - Priya</t>
        </is>
      </c>
      <c r="O73" s="2" t="inlineStr">
        <is>
          <t>Approved</t>
        </is>
      </c>
    </row>
    <row r="74">
      <c r="A74" s="2" t="inlineStr">
        <is>
          <t>CPE-2026-073</t>
        </is>
      </c>
      <c r="B74" s="2" t="inlineStr">
        <is>
          <t>Workshop: Internal Controls</t>
        </is>
      </c>
      <c r="C74" s="2" t="inlineStr">
        <is>
          <t>Tina Williams</t>
        </is>
      </c>
      <c r="D74" s="3" t="n">
        <v>46296</v>
      </c>
      <c r="E74" s="2" t="inlineStr">
        <is>
          <t>Self-study</t>
        </is>
      </c>
      <c r="F74" s="2" t="n">
        <v>25</v>
      </c>
      <c r="G74" s="2" t="inlineStr">
        <is>
          <t>Finance</t>
        </is>
      </c>
      <c r="H74" s="2" t="inlineStr">
        <is>
          <t>Intermediate</t>
        </is>
      </c>
      <c r="I74" s="2" t="n">
        <v>2</v>
      </c>
      <c r="J74" s="2" t="n">
        <v>0</v>
      </c>
      <c r="K74" s="2" t="n">
        <v>2</v>
      </c>
      <c r="L74" s="2" t="inlineStr">
        <is>
          <t>N</t>
        </is>
      </c>
      <c r="M74" s="3" t="n">
        <v>46301</v>
      </c>
      <c r="N74" s="2" t="inlineStr">
        <is>
          <t>CPE Desk - Luis</t>
        </is>
      </c>
      <c r="O74" s="2" t="inlineStr">
        <is>
          <t>Approved</t>
        </is>
      </c>
    </row>
    <row r="75">
      <c r="A75" s="2" t="inlineStr">
        <is>
          <t>CPE-2026-074</t>
        </is>
      </c>
      <c r="B75" s="2" t="inlineStr">
        <is>
          <t>Advanced Ethical Decision Making</t>
        </is>
      </c>
      <c r="C75" s="2" t="inlineStr">
        <is>
          <t>Irene Schultz</t>
        </is>
      </c>
      <c r="D75" s="3" t="n">
        <v>46316</v>
      </c>
      <c r="E75" s="2" t="inlineStr">
        <is>
          <t>Group</t>
        </is>
      </c>
      <c r="F75" s="2" t="n">
        <v>150</v>
      </c>
      <c r="G75" s="2" t="inlineStr">
        <is>
          <t>Auditing</t>
        </is>
      </c>
      <c r="H75" s="2" t="inlineStr">
        <is>
          <t>Advanced</t>
        </is>
      </c>
      <c r="I75" s="2" t="n">
        <v>9</v>
      </c>
      <c r="J75" s="2" t="n">
        <v>9</v>
      </c>
      <c r="K75" s="2" t="n">
        <v>0</v>
      </c>
      <c r="L75" s="2" t="inlineStr">
        <is>
          <t>Y</t>
        </is>
      </c>
      <c r="M75" s="3" t="n">
        <v>46321</v>
      </c>
      <c r="N75" s="2" t="inlineStr">
        <is>
          <t>CPE Desk - Omar</t>
        </is>
      </c>
      <c r="O75" s="2" t="inlineStr">
        <is>
          <t>Approved</t>
        </is>
      </c>
    </row>
    <row r="76">
      <c r="A76" s="2" t="inlineStr">
        <is>
          <t>CPE-2026-075</t>
        </is>
      </c>
      <c r="B76" s="2" t="inlineStr">
        <is>
          <t>Essentials of Cybersecurity Risk</t>
        </is>
      </c>
      <c r="C76" s="2" t="inlineStr">
        <is>
          <t>Clara Singh</t>
        </is>
      </c>
      <c r="D76" s="3" t="n">
        <v>46269</v>
      </c>
      <c r="E76" s="2" t="inlineStr">
        <is>
          <t>Group</t>
        </is>
      </c>
      <c r="F76" s="2" t="n">
        <v>100</v>
      </c>
      <c r="G76" s="2" t="inlineStr">
        <is>
          <t>Specialized Knowledge</t>
        </is>
      </c>
      <c r="H76" s="2" t="inlineStr">
        <is>
          <t>Advanced</t>
        </is>
      </c>
      <c r="I76" s="2" t="n">
        <v>6</v>
      </c>
      <c r="J76" s="2" t="n">
        <v>6</v>
      </c>
      <c r="K76" s="2" t="n">
        <v>0</v>
      </c>
      <c r="L76" s="2" t="inlineStr">
        <is>
          <t>N</t>
        </is>
      </c>
      <c r="M76" s="3" t="n">
        <v>46274</v>
      </c>
      <c r="N76" s="2" t="inlineStr">
        <is>
          <t>CPE Desk - Luis</t>
        </is>
      </c>
      <c r="O76" s="2" t="inlineStr">
        <is>
          <t>Approved</t>
        </is>
      </c>
    </row>
    <row r="77">
      <c r="A77" s="2" t="inlineStr">
        <is>
          <t>CPE-2026-076</t>
        </is>
      </c>
      <c r="B77" s="2" t="inlineStr">
        <is>
          <t>Advanced Internal Controls</t>
        </is>
      </c>
      <c r="C77" s="2" t="inlineStr">
        <is>
          <t>James Osei</t>
        </is>
      </c>
      <c r="D77" s="3" t="n">
        <v>46310</v>
      </c>
      <c r="E77" s="2" t="inlineStr">
        <is>
          <t>Self-study</t>
        </is>
      </c>
      <c r="F77" s="2" t="n">
        <v>90</v>
      </c>
      <c r="G77" s="2" t="inlineStr">
        <is>
          <t>Business Law</t>
        </is>
      </c>
      <c r="H77" s="2" t="inlineStr">
        <is>
          <t>Advanced</t>
        </is>
      </c>
      <c r="I77" s="2" t="n">
        <v>6</v>
      </c>
      <c r="J77" s="2" t="n">
        <v>0</v>
      </c>
      <c r="K77" s="2" t="n">
        <v>5</v>
      </c>
      <c r="L77" s="2" t="inlineStr">
        <is>
          <t>N</t>
        </is>
      </c>
      <c r="M77" s="3" t="n">
        <v>46315</v>
      </c>
      <c r="N77" s="2" t="inlineStr">
        <is>
          <t>CPE Desk - Luis</t>
        </is>
      </c>
      <c r="O77" s="2" t="inlineStr">
        <is>
          <t>Approved</t>
        </is>
      </c>
    </row>
    <row r="78">
      <c r="A78" s="6" t="inlineStr">
        <is>
          <t>CPE-2026-077</t>
        </is>
      </c>
      <c r="B78" s="6" t="inlineStr">
        <is>
          <t>Advanced Remote Audit Techniques</t>
        </is>
      </c>
      <c r="C78" s="6" t="inlineStr">
        <is>
          <t>Ben Tanaka</t>
        </is>
      </c>
      <c r="D78" s="7" t="n">
        <v>46322</v>
      </c>
      <c r="E78" s="6" t="inlineStr">
        <is>
          <t>Self-study</t>
        </is>
      </c>
      <c r="F78" s="6" t="n">
        <v>120</v>
      </c>
      <c r="G78" s="6" t="inlineStr">
        <is>
          <t>Specialized Knowledge</t>
        </is>
      </c>
      <c r="H78" s="6" t="inlineStr">
        <is>
          <t>Intermediate</t>
        </is>
      </c>
      <c r="I78" s="6" t="n">
        <v>7</v>
      </c>
      <c r="J78" s="6" t="n">
        <v>0</v>
      </c>
      <c r="K78" s="6" t="n">
        <v>6</v>
      </c>
      <c r="L78" s="6" t="inlineStr">
        <is>
          <t>Y</t>
        </is>
      </c>
      <c r="M78" s="7" t="n">
        <v>46327</v>
      </c>
      <c r="N78" s="6" t="inlineStr">
        <is>
          <t>CPE Desk - Priya</t>
        </is>
      </c>
      <c r="O78" s="6" t="inlineStr">
        <is>
          <t>Pending</t>
        </is>
      </c>
    </row>
    <row r="79">
      <c r="A79" s="2" t="inlineStr">
        <is>
          <t>CPE-2026-078</t>
        </is>
      </c>
      <c r="B79" s="2" t="inlineStr">
        <is>
          <t>Current Issues in Blockchain in Accounting</t>
        </is>
      </c>
      <c r="C79" s="2" t="inlineStr">
        <is>
          <t>Alice Morrow</t>
        </is>
      </c>
      <c r="D79" s="3" t="n">
        <v>46314</v>
      </c>
      <c r="E79" s="2" t="inlineStr">
        <is>
          <t>Self-study</t>
        </is>
      </c>
      <c r="F79" s="2" t="n">
        <v>25</v>
      </c>
      <c r="G79" s="2" t="inlineStr">
        <is>
          <t>Taxation</t>
        </is>
      </c>
      <c r="H79" s="2" t="inlineStr">
        <is>
          <t>Intermediate</t>
        </is>
      </c>
      <c r="I79" s="2" t="n">
        <v>2</v>
      </c>
      <c r="J79" s="2" t="n">
        <v>0</v>
      </c>
      <c r="K79" s="2" t="n">
        <v>2</v>
      </c>
      <c r="L79" s="2" t="inlineStr">
        <is>
          <t>N</t>
        </is>
      </c>
      <c r="M79" s="3" t="n">
        <v>46319</v>
      </c>
      <c r="N79" s="2" t="inlineStr">
        <is>
          <t>CPE Desk - Sarah</t>
        </is>
      </c>
      <c r="O79" s="2" t="inlineStr">
        <is>
          <t>Approved</t>
        </is>
      </c>
    </row>
    <row r="80">
      <c r="A80" s="2" t="inlineStr">
        <is>
          <t>CPE-2026-079</t>
        </is>
      </c>
      <c r="B80" s="2" t="inlineStr">
        <is>
          <t>Practical Blockchain in Accounting</t>
        </is>
      </c>
      <c r="C80" s="2" t="inlineStr">
        <is>
          <t>Nate Johansson</t>
        </is>
      </c>
      <c r="D80" s="3" t="n">
        <v>46306</v>
      </c>
      <c r="E80" s="2" t="inlineStr">
        <is>
          <t>Self-study</t>
        </is>
      </c>
      <c r="F80" s="2" t="n">
        <v>30</v>
      </c>
      <c r="G80" s="2" t="inlineStr">
        <is>
          <t>Economics</t>
        </is>
      </c>
      <c r="H80" s="2" t="inlineStr">
        <is>
          <t>Intermediate</t>
        </is>
      </c>
      <c r="I80" s="2" t="n">
        <v>2</v>
      </c>
      <c r="J80" s="2" t="n">
        <v>0</v>
      </c>
      <c r="K80" s="2" t="n">
        <v>2</v>
      </c>
      <c r="L80" s="2" t="inlineStr">
        <is>
          <t>N</t>
        </is>
      </c>
      <c r="M80" s="3" t="n">
        <v>46311</v>
      </c>
      <c r="N80" s="2" t="inlineStr">
        <is>
          <t>CPE Desk - Sarah</t>
        </is>
      </c>
      <c r="O80" s="2" t="inlineStr">
        <is>
          <t>Approved</t>
        </is>
      </c>
    </row>
    <row r="81">
      <c r="A81" s="2" t="inlineStr">
        <is>
          <t>CPE-2026-080</t>
        </is>
      </c>
      <c r="B81" s="2" t="inlineStr">
        <is>
          <t>Deep Dive into Tax Reform</t>
        </is>
      </c>
      <c r="C81" s="2" t="inlineStr">
        <is>
          <t>Frank Huang</t>
        </is>
      </c>
      <c r="D81" s="3" t="n">
        <v>46287</v>
      </c>
      <c r="E81" s="2" t="inlineStr">
        <is>
          <t>Self-study</t>
        </is>
      </c>
      <c r="F81" s="2" t="n">
        <v>200</v>
      </c>
      <c r="G81" s="2" t="inlineStr">
        <is>
          <t>Ethics</t>
        </is>
      </c>
      <c r="H81" s="2" t="inlineStr">
        <is>
          <t>Advanced</t>
        </is>
      </c>
      <c r="I81" s="2" t="n">
        <v>12</v>
      </c>
      <c r="J81" s="2" t="n">
        <v>0</v>
      </c>
      <c r="K81" s="2" t="n">
        <v>12</v>
      </c>
      <c r="L81" s="2" t="inlineStr">
        <is>
          <t>N</t>
        </is>
      </c>
      <c r="M81" s="3" t="n">
        <v>46292</v>
      </c>
      <c r="N81" s="2" t="inlineStr">
        <is>
          <t>CPE Desk - Priya</t>
        </is>
      </c>
      <c r="O81" s="2" t="inlineStr">
        <is>
          <t>Approved</t>
        </is>
      </c>
    </row>
    <row r="82">
      <c r="A82" s="2" t="inlineStr">
        <is>
          <t>CPE-2026-081</t>
        </is>
      </c>
      <c r="B82" s="2" t="inlineStr">
        <is>
          <t>Seminar: Lease Accounting</t>
        </is>
      </c>
      <c r="C82" s="2" t="inlineStr">
        <is>
          <t>Karen Li</t>
        </is>
      </c>
      <c r="D82" s="3" t="n">
        <v>46282</v>
      </c>
      <c r="E82" s="2" t="inlineStr">
        <is>
          <t>Self-study</t>
        </is>
      </c>
      <c r="F82" s="2" t="n">
        <v>45</v>
      </c>
      <c r="G82" s="2" t="inlineStr">
        <is>
          <t>Information Technology</t>
        </is>
      </c>
      <c r="H82" s="2" t="inlineStr">
        <is>
          <t>Advanced</t>
        </is>
      </c>
      <c r="I82" s="2" t="n">
        <v>3</v>
      </c>
      <c r="J82" s="2" t="n">
        <v>0</v>
      </c>
      <c r="K82" s="2" t="n">
        <v>2</v>
      </c>
      <c r="L82" s="2" t="inlineStr">
        <is>
          <t>Y</t>
        </is>
      </c>
      <c r="M82" s="3" t="n">
        <v>46287</v>
      </c>
      <c r="N82" s="2" t="inlineStr">
        <is>
          <t>CPE Desk - Luis</t>
        </is>
      </c>
      <c r="O82" s="2" t="inlineStr">
        <is>
          <t>Approved</t>
        </is>
      </c>
    </row>
    <row r="83">
      <c r="A83" s="4" t="inlineStr">
        <is>
          <t>CPE-2026-082</t>
        </is>
      </c>
      <c r="B83" s="4" t="inlineStr">
        <is>
          <t>Workshop: Revenue Recognition</t>
        </is>
      </c>
      <c r="C83" s="4" t="inlineStr">
        <is>
          <t>Grace Patel</t>
        </is>
      </c>
      <c r="D83" s="5" t="n">
        <v>46299</v>
      </c>
      <c r="E83" s="4" t="inlineStr">
        <is>
          <t>Self-study</t>
        </is>
      </c>
      <c r="F83" s="4" t="n">
        <v>210</v>
      </c>
      <c r="G83" s="4" t="inlineStr">
        <is>
          <t>Economics</t>
        </is>
      </c>
      <c r="H83" s="4" t="inlineStr">
        <is>
          <t>Basic</t>
        </is>
      </c>
      <c r="I83" s="4" t="n">
        <v>12</v>
      </c>
      <c r="J83" s="4" t="n">
        <v>0</v>
      </c>
      <c r="K83" s="4" t="n">
        <v>12</v>
      </c>
      <c r="L83" s="4" t="inlineStr">
        <is>
          <t>Y</t>
        </is>
      </c>
      <c r="M83" s="5" t="n">
        <v>46304</v>
      </c>
      <c r="N83" s="4" t="inlineStr">
        <is>
          <t>CPE Desk - Sarah</t>
        </is>
      </c>
      <c r="O83" s="4" t="inlineStr">
        <is>
          <t>Needs Correction</t>
        </is>
      </c>
    </row>
    <row r="84">
      <c r="A84" s="4" t="inlineStr">
        <is>
          <t>CPE-2026-083</t>
        </is>
      </c>
      <c r="B84" s="4" t="inlineStr">
        <is>
          <t>Essentials of Internal Controls</t>
        </is>
      </c>
      <c r="C84" s="4" t="inlineStr">
        <is>
          <t>Paul Mbeki</t>
        </is>
      </c>
      <c r="D84" s="5" t="n">
        <v>46273</v>
      </c>
      <c r="E84" s="4" t="inlineStr">
        <is>
          <t>Group</t>
        </is>
      </c>
      <c r="F84" s="4" t="n">
        <v>65</v>
      </c>
      <c r="G84" s="4" t="inlineStr">
        <is>
          <t>Taxation</t>
        </is>
      </c>
      <c r="H84" s="4" t="inlineStr">
        <is>
          <t>Intermediate</t>
        </is>
      </c>
      <c r="I84" s="4" t="n">
        <v>5</v>
      </c>
      <c r="J84" s="4" t="n">
        <v>5</v>
      </c>
      <c r="K84" s="4" t="n">
        <v>0</v>
      </c>
      <c r="L84" s="4" t="inlineStr">
        <is>
          <t>Y</t>
        </is>
      </c>
      <c r="M84" s="5" t="n">
        <v>46278</v>
      </c>
      <c r="N84" s="4" t="inlineStr">
        <is>
          <t>CPE Desk - Luis</t>
        </is>
      </c>
      <c r="O84" s="4" t="inlineStr">
        <is>
          <t>Needs Correction</t>
        </is>
      </c>
    </row>
    <row r="85">
      <c r="A85" s="2" t="inlineStr">
        <is>
          <t>CPE-2026-084</t>
        </is>
      </c>
      <c r="B85" s="2" t="inlineStr">
        <is>
          <t>Mastering Tax Reform</t>
        </is>
      </c>
      <c r="C85" s="2" t="inlineStr">
        <is>
          <t>Olivia Chen</t>
        </is>
      </c>
      <c r="D85" s="3" t="n">
        <v>46273</v>
      </c>
      <c r="E85" s="2" t="inlineStr">
        <is>
          <t>Group</t>
        </is>
      </c>
      <c r="F85" s="2" t="n">
        <v>200</v>
      </c>
      <c r="G85" s="2" t="inlineStr">
        <is>
          <t>Ethics</t>
        </is>
      </c>
      <c r="H85" s="2" t="inlineStr">
        <is>
          <t>Advanced</t>
        </is>
      </c>
      <c r="I85" s="2" t="n">
        <v>12</v>
      </c>
      <c r="J85" s="2" t="n">
        <v>12</v>
      </c>
      <c r="K85" s="2" t="n">
        <v>0</v>
      </c>
      <c r="L85" s="2" t="inlineStr">
        <is>
          <t>N</t>
        </is>
      </c>
      <c r="M85" s="3" t="n">
        <v>46278</v>
      </c>
      <c r="N85" s="2" t="inlineStr">
        <is>
          <t>CPE Desk - Luis</t>
        </is>
      </c>
      <c r="O85" s="2" t="inlineStr">
        <is>
          <t>Approved</t>
        </is>
      </c>
    </row>
    <row r="86">
      <c r="A86" s="2" t="inlineStr">
        <is>
          <t>CPE-2026-085</t>
        </is>
      </c>
      <c r="B86" s="2" t="inlineStr">
        <is>
          <t>Seminar: SOX Compliance</t>
        </is>
      </c>
      <c r="C86" s="2" t="inlineStr">
        <is>
          <t>Henry Reyes</t>
        </is>
      </c>
      <c r="D86" s="3" t="n">
        <v>46295</v>
      </c>
      <c r="E86" s="2" t="inlineStr">
        <is>
          <t>Group</t>
        </is>
      </c>
      <c r="F86" s="2" t="n">
        <v>140</v>
      </c>
      <c r="G86" s="2" t="inlineStr">
        <is>
          <t>Finance</t>
        </is>
      </c>
      <c r="H86" s="2" t="inlineStr">
        <is>
          <t>Advanced</t>
        </is>
      </c>
      <c r="I86" s="2" t="n">
        <v>9</v>
      </c>
      <c r="J86" s="2" t="n">
        <v>9</v>
      </c>
      <c r="K86" s="2" t="n">
        <v>0</v>
      </c>
      <c r="L86" s="2" t="inlineStr">
        <is>
          <t>Y</t>
        </is>
      </c>
      <c r="M86" s="3" t="n">
        <v>46300</v>
      </c>
      <c r="N86" s="2" t="inlineStr">
        <is>
          <t>CPE Desk - Priya</t>
        </is>
      </c>
      <c r="O86" s="2" t="inlineStr">
        <is>
          <t>Approved</t>
        </is>
      </c>
    </row>
    <row r="87">
      <c r="A87" s="4" t="inlineStr">
        <is>
          <t>CPE-2026-086</t>
        </is>
      </c>
      <c r="B87" s="4" t="inlineStr">
        <is>
          <t>Essentials of Auditing Standards</t>
        </is>
      </c>
      <c r="C87" s="4" t="inlineStr">
        <is>
          <t>Karen Li</t>
        </is>
      </c>
      <c r="D87" s="5" t="n">
        <v>46316</v>
      </c>
      <c r="E87" s="4" t="inlineStr">
        <is>
          <t>Self-study</t>
        </is>
      </c>
      <c r="F87" s="4" t="n">
        <v>20</v>
      </c>
      <c r="G87" s="4" t="inlineStr">
        <is>
          <t>Ethics</t>
        </is>
      </c>
      <c r="H87" s="4" t="inlineStr">
        <is>
          <t>Advanced</t>
        </is>
      </c>
      <c r="I87" s="4" t="n">
        <v>1</v>
      </c>
      <c r="J87" s="4" t="n">
        <v>0</v>
      </c>
      <c r="K87" s="4" t="n">
        <v>1</v>
      </c>
      <c r="L87" s="4" t="inlineStr">
        <is>
          <t>N</t>
        </is>
      </c>
      <c r="M87" s="5" t="n">
        <v>46321</v>
      </c>
      <c r="N87" s="4" t="inlineStr">
        <is>
          <t>CPE Desk - Luis</t>
        </is>
      </c>
      <c r="O87" s="4" t="inlineStr">
        <is>
          <t>Needs Correction</t>
        </is>
      </c>
    </row>
    <row r="88">
      <c r="A88" s="2" t="inlineStr">
        <is>
          <t>CPE-2026-087</t>
        </is>
      </c>
      <c r="B88" s="2" t="inlineStr">
        <is>
          <t>Seminar: Financial Modeling</t>
        </is>
      </c>
      <c r="C88" s="2" t="inlineStr">
        <is>
          <t>Paul Mbeki</t>
        </is>
      </c>
      <c r="D88" s="3" t="n">
        <v>46288</v>
      </c>
      <c r="E88" s="2" t="inlineStr">
        <is>
          <t>Self-study</t>
        </is>
      </c>
      <c r="F88" s="2" t="n">
        <v>140</v>
      </c>
      <c r="G88" s="2" t="inlineStr">
        <is>
          <t>Economics</t>
        </is>
      </c>
      <c r="H88" s="2" t="inlineStr">
        <is>
          <t>Intermediate</t>
        </is>
      </c>
      <c r="I88" s="2" t="n">
        <v>9</v>
      </c>
      <c r="J88" s="2" t="n">
        <v>0</v>
      </c>
      <c r="K88" s="2" t="n">
        <v>8</v>
      </c>
      <c r="L88" s="2" t="inlineStr">
        <is>
          <t>Y</t>
        </is>
      </c>
      <c r="M88" s="3" t="n">
        <v>46293</v>
      </c>
      <c r="N88" s="2" t="inlineStr">
        <is>
          <t>CPE Desk - Omar</t>
        </is>
      </c>
      <c r="O88" s="2" t="inlineStr">
        <is>
          <t>Approved</t>
        </is>
      </c>
    </row>
    <row r="89">
      <c r="A89" s="6" t="inlineStr">
        <is>
          <t>CPE-2026-088</t>
        </is>
      </c>
      <c r="B89" s="6" t="inlineStr">
        <is>
          <t>Current Issues in QuickBooks Pro</t>
        </is>
      </c>
      <c r="C89" s="6" t="inlineStr">
        <is>
          <t>Henry Reyes</t>
        </is>
      </c>
      <c r="D89" s="7" t="n">
        <v>46320</v>
      </c>
      <c r="E89" s="6" t="inlineStr">
        <is>
          <t>Self-study</t>
        </is>
      </c>
      <c r="F89" s="6" t="n">
        <v>25</v>
      </c>
      <c r="G89" s="6" t="inlineStr">
        <is>
          <t>Management</t>
        </is>
      </c>
      <c r="H89" s="6" t="inlineStr">
        <is>
          <t>Advanced</t>
        </is>
      </c>
      <c r="I89" s="6" t="n">
        <v>2</v>
      </c>
      <c r="J89" s="6" t="n">
        <v>0</v>
      </c>
      <c r="K89" s="6" t="n">
        <v>2</v>
      </c>
      <c r="L89" s="6" t="inlineStr">
        <is>
          <t>N</t>
        </is>
      </c>
      <c r="M89" s="7" t="n">
        <v>46325</v>
      </c>
      <c r="N89" s="6" t="inlineStr">
        <is>
          <t>CPE Desk - Luis</t>
        </is>
      </c>
      <c r="O89" s="6" t="inlineStr">
        <is>
          <t>Pending</t>
        </is>
      </c>
    </row>
    <row r="90">
      <c r="A90" s="4" t="inlineStr">
        <is>
          <t>CPE-2026-089</t>
        </is>
      </c>
      <c r="B90" s="4" t="inlineStr">
        <is>
          <t>Workshop: Cybersecurity Risk</t>
        </is>
      </c>
      <c r="C90" s="4" t="inlineStr">
        <is>
          <t>Paul Mbeki</t>
        </is>
      </c>
      <c r="D90" s="5" t="n">
        <v>46268</v>
      </c>
      <c r="E90" s="4" t="inlineStr">
        <is>
          <t>Group</t>
        </is>
      </c>
      <c r="F90" s="4" t="n">
        <v>110</v>
      </c>
      <c r="G90" s="4" t="inlineStr">
        <is>
          <t>Auditing</t>
        </is>
      </c>
      <c r="H90" s="4" t="inlineStr">
        <is>
          <t>Intermediate</t>
        </is>
      </c>
      <c r="I90" s="4" t="n">
        <v>6</v>
      </c>
      <c r="J90" s="4" t="n">
        <v>7</v>
      </c>
      <c r="K90" s="4" t="n">
        <v>0</v>
      </c>
      <c r="L90" s="4" t="inlineStr">
        <is>
          <t>Y</t>
        </is>
      </c>
      <c r="M90" s="5" t="n">
        <v>46273</v>
      </c>
      <c r="N90" s="4" t="inlineStr">
        <is>
          <t>CPE Desk - Luis</t>
        </is>
      </c>
      <c r="O90" s="4" t="inlineStr">
        <is>
          <t>Needs Correction</t>
        </is>
      </c>
    </row>
    <row r="91">
      <c r="A91" s="2" t="inlineStr">
        <is>
          <t>CPE-2026-090</t>
        </is>
      </c>
      <c r="B91" s="2" t="inlineStr">
        <is>
          <t>Practical Auditing Standards</t>
        </is>
      </c>
      <c r="C91" s="2" t="inlineStr">
        <is>
          <t>Elena Voss</t>
        </is>
      </c>
      <c r="D91" s="3" t="n">
        <v>46270</v>
      </c>
      <c r="E91" s="2" t="inlineStr">
        <is>
          <t>Self-study</t>
        </is>
      </c>
      <c r="F91" s="2" t="n">
        <v>90</v>
      </c>
      <c r="G91" s="2" t="inlineStr">
        <is>
          <t>Management</t>
        </is>
      </c>
      <c r="H91" s="2" t="inlineStr">
        <is>
          <t>Advanced</t>
        </is>
      </c>
      <c r="I91" s="2" t="n">
        <v>6</v>
      </c>
      <c r="J91" s="2" t="n">
        <v>0</v>
      </c>
      <c r="K91" s="2" t="n">
        <v>5</v>
      </c>
      <c r="L91" s="2" t="inlineStr">
        <is>
          <t>N</t>
        </is>
      </c>
      <c r="M91" s="3" t="n">
        <v>46275</v>
      </c>
      <c r="N91" s="2" t="inlineStr">
        <is>
          <t>CPE Desk - Priya</t>
        </is>
      </c>
      <c r="O91" s="2" t="inlineStr">
        <is>
          <t>Approved</t>
        </is>
      </c>
    </row>
    <row r="92">
      <c r="A92" s="2" t="inlineStr">
        <is>
          <t>CPE-2026-091</t>
        </is>
      </c>
      <c r="B92" s="2" t="inlineStr">
        <is>
          <t>Deep Dive into Financial Modeling</t>
        </is>
      </c>
      <c r="C92" s="2" t="inlineStr">
        <is>
          <t>Maya Brooks</t>
        </is>
      </c>
      <c r="D92" s="3" t="n">
        <v>46286</v>
      </c>
      <c r="E92" s="2" t="inlineStr">
        <is>
          <t>Self-study</t>
        </is>
      </c>
      <c r="F92" s="2" t="n">
        <v>25</v>
      </c>
      <c r="G92" s="2" t="inlineStr">
        <is>
          <t>Specialized Knowledge</t>
        </is>
      </c>
      <c r="H92" s="2" t="inlineStr">
        <is>
          <t>Basic</t>
        </is>
      </c>
      <c r="I92" s="2" t="n">
        <v>2</v>
      </c>
      <c r="J92" s="2" t="n">
        <v>0</v>
      </c>
      <c r="K92" s="2" t="n">
        <v>2</v>
      </c>
      <c r="L92" s="2" t="inlineStr">
        <is>
          <t>Y</t>
        </is>
      </c>
      <c r="M92" s="3" t="n">
        <v>46291</v>
      </c>
      <c r="N92" s="2" t="inlineStr">
        <is>
          <t>CPE Desk - Sarah</t>
        </is>
      </c>
      <c r="O92" s="2" t="inlineStr">
        <is>
          <t>Approved</t>
        </is>
      </c>
    </row>
    <row r="93">
      <c r="A93" s="4" t="inlineStr">
        <is>
          <t>CPE-2026-092</t>
        </is>
      </c>
      <c r="B93" s="4" t="inlineStr">
        <is>
          <t>Mastering Lease Accounting</t>
        </is>
      </c>
      <c r="C93" s="4" t="inlineStr">
        <is>
          <t>Nate Johansson</t>
        </is>
      </c>
      <c r="D93" s="5" t="n">
        <v>46272</v>
      </c>
      <c r="E93" s="4" t="inlineStr">
        <is>
          <t>Group</t>
        </is>
      </c>
      <c r="F93" s="4" t="n">
        <v>180</v>
      </c>
      <c r="G93" s="4" t="inlineStr">
        <is>
          <t>Taxation</t>
        </is>
      </c>
      <c r="H93" s="4" t="inlineStr">
        <is>
          <t>Advanced</t>
        </is>
      </c>
      <c r="I93" s="4" t="n">
        <v>10</v>
      </c>
      <c r="J93" s="4" t="n">
        <v>11</v>
      </c>
      <c r="K93" s="4" t="n">
        <v>0</v>
      </c>
      <c r="L93" s="4" t="inlineStr">
        <is>
          <t>N</t>
        </is>
      </c>
      <c r="M93" s="5" t="n">
        <v>46277</v>
      </c>
      <c r="N93" s="4" t="inlineStr">
        <is>
          <t>CPE Desk - Priya</t>
        </is>
      </c>
      <c r="O93" s="4" t="inlineStr">
        <is>
          <t>Needs Correction</t>
        </is>
      </c>
    </row>
    <row r="94">
      <c r="A94" s="4" t="inlineStr">
        <is>
          <t>CPE-2026-093</t>
        </is>
      </c>
      <c r="B94" s="4" t="inlineStr">
        <is>
          <t>Deep Dive into Revenue Recognition</t>
        </is>
      </c>
      <c r="C94" s="4" t="inlineStr">
        <is>
          <t>James Osei</t>
        </is>
      </c>
      <c r="D94" s="5" t="n">
        <v>46288</v>
      </c>
      <c r="E94" s="4" t="inlineStr">
        <is>
          <t>Self-study</t>
        </is>
      </c>
      <c r="F94" s="4" t="n">
        <v>150</v>
      </c>
      <c r="G94" s="4" t="inlineStr">
        <is>
          <t>Taxation</t>
        </is>
      </c>
      <c r="H94" s="4" t="inlineStr">
        <is>
          <t>Basic</t>
        </is>
      </c>
      <c r="I94" s="4" t="n">
        <v>9</v>
      </c>
      <c r="J94" s="4" t="n">
        <v>0</v>
      </c>
      <c r="K94" s="4" t="n">
        <v>9</v>
      </c>
      <c r="L94" s="4" t="inlineStr">
        <is>
          <t>N</t>
        </is>
      </c>
      <c r="M94" s="5" t="n">
        <v>46293</v>
      </c>
      <c r="N94" s="4" t="inlineStr">
        <is>
          <t>CPE Desk - Omar</t>
        </is>
      </c>
      <c r="O94" s="4" t="inlineStr">
        <is>
          <t>Needs Correction</t>
        </is>
      </c>
    </row>
    <row r="95">
      <c r="A95" s="4" t="inlineStr">
        <is>
          <t>CPE-2026-094</t>
        </is>
      </c>
      <c r="B95" s="4" t="inlineStr">
        <is>
          <t>Practical Data Analytics for CPAs</t>
        </is>
      </c>
      <c r="C95" s="4" t="inlineStr">
        <is>
          <t>Clara Singh</t>
        </is>
      </c>
      <c r="D95" s="5" t="n">
        <v>46305</v>
      </c>
      <c r="E95" s="4" t="inlineStr">
        <is>
          <t>Self-study</t>
        </is>
      </c>
      <c r="F95" s="4" t="n">
        <v>60</v>
      </c>
      <c r="G95" s="4" t="inlineStr">
        <is>
          <t>Economics</t>
        </is>
      </c>
      <c r="H95" s="4" t="inlineStr">
        <is>
          <t>Advanced</t>
        </is>
      </c>
      <c r="I95" s="4" t="n">
        <v>5</v>
      </c>
      <c r="J95" s="4" t="n">
        <v>0</v>
      </c>
      <c r="K95" s="4" t="n">
        <v>3</v>
      </c>
      <c r="L95" s="4" t="inlineStr">
        <is>
          <t>Y</t>
        </is>
      </c>
      <c r="M95" s="5" t="n">
        <v>46310</v>
      </c>
      <c r="N95" s="4" t="inlineStr">
        <is>
          <t>CPE Desk - Omar</t>
        </is>
      </c>
      <c r="O95" s="4" t="inlineStr">
        <is>
          <t>Needs Correction</t>
        </is>
      </c>
    </row>
    <row r="96">
      <c r="A96" s="4" t="inlineStr">
        <is>
          <t>CPE-2026-095</t>
        </is>
      </c>
      <c r="B96" s="4" t="inlineStr">
        <is>
          <t>Essentials of Internal Controls</t>
        </is>
      </c>
      <c r="C96" s="4" t="inlineStr">
        <is>
          <t>Irene Schultz</t>
        </is>
      </c>
      <c r="D96" s="5" t="n">
        <v>46308</v>
      </c>
      <c r="E96" s="4" t="inlineStr">
        <is>
          <t>Group</t>
        </is>
      </c>
      <c r="F96" s="4" t="n">
        <v>165</v>
      </c>
      <c r="G96" s="4" t="inlineStr">
        <is>
          <t>Ethics</t>
        </is>
      </c>
      <c r="H96" s="4" t="inlineStr">
        <is>
          <t>Advanced</t>
        </is>
      </c>
      <c r="I96" s="4" t="n">
        <v>11</v>
      </c>
      <c r="J96" s="4" t="n">
        <v>11</v>
      </c>
      <c r="K96" s="4" t="n">
        <v>0</v>
      </c>
      <c r="L96" s="4" t="inlineStr">
        <is>
          <t>Y</t>
        </is>
      </c>
      <c r="M96" s="5" t="n">
        <v>46313</v>
      </c>
      <c r="N96" s="4" t="inlineStr">
        <is>
          <t>CPE Desk - Priya</t>
        </is>
      </c>
      <c r="O96" s="4" t="inlineStr">
        <is>
          <t>Needs Correction</t>
        </is>
      </c>
    </row>
    <row r="97">
      <c r="A97" s="8" t="inlineStr">
        <is>
          <t>CPE-2026-096</t>
        </is>
      </c>
      <c r="B97" s="8" t="inlineStr">
        <is>
          <t>Deep Dive into Blockchain in Accounting</t>
        </is>
      </c>
      <c r="C97" s="8" t="inlineStr">
        <is>
          <t>James Osei</t>
        </is>
      </c>
      <c r="D97" s="9" t="n">
        <v>46306</v>
      </c>
      <c r="E97" s="8" t="inlineStr">
        <is>
          <t>Self-study</t>
        </is>
      </c>
      <c r="F97" s="8" t="n">
        <v>90</v>
      </c>
      <c r="G97" s="8" t="inlineStr"/>
      <c r="H97" s="8" t="inlineStr">
        <is>
          <t>Intermediate</t>
        </is>
      </c>
      <c r="I97" s="8" t="n">
        <v>6</v>
      </c>
      <c r="J97" s="8" t="n">
        <v>0</v>
      </c>
      <c r="K97" s="8" t="n">
        <v>5</v>
      </c>
      <c r="L97" s="8" t="inlineStr">
        <is>
          <t>Y</t>
        </is>
      </c>
      <c r="M97" s="9" t="n">
        <v>46311</v>
      </c>
      <c r="N97" s="8" t="inlineStr">
        <is>
          <t>CPE Desk - Luis</t>
        </is>
      </c>
      <c r="O97" s="8" t="inlineStr">
        <is>
          <t>Escalate</t>
        </is>
      </c>
    </row>
    <row r="98">
      <c r="A98" s="2" t="inlineStr">
        <is>
          <t>CPE-2026-097</t>
        </is>
      </c>
      <c r="B98" s="2" t="inlineStr">
        <is>
          <t>Seminar: Tax Reform</t>
        </is>
      </c>
      <c r="C98" s="2" t="inlineStr">
        <is>
          <t>Henry Reyes</t>
        </is>
      </c>
      <c r="D98" s="3" t="n">
        <v>46290</v>
      </c>
      <c r="E98" s="2" t="inlineStr">
        <is>
          <t>Self-study</t>
        </is>
      </c>
      <c r="F98" s="2" t="n">
        <v>100</v>
      </c>
      <c r="G98" s="2" t="inlineStr">
        <is>
          <t>Ethics</t>
        </is>
      </c>
      <c r="H98" s="2" t="inlineStr">
        <is>
          <t>Basic</t>
        </is>
      </c>
      <c r="I98" s="2" t="n">
        <v>6</v>
      </c>
      <c r="J98" s="2" t="n">
        <v>0</v>
      </c>
      <c r="K98" s="2" t="n">
        <v>6</v>
      </c>
      <c r="L98" s="2" t="inlineStr">
        <is>
          <t>N</t>
        </is>
      </c>
      <c r="M98" s="3" t="n">
        <v>46295</v>
      </c>
      <c r="N98" s="2" t="inlineStr">
        <is>
          <t>CPE Desk - Sarah</t>
        </is>
      </c>
      <c r="O98" s="2" t="inlineStr">
        <is>
          <t>Approved</t>
        </is>
      </c>
    </row>
    <row r="99">
      <c r="A99" s="4" t="inlineStr">
        <is>
          <t>CPE-2026-098</t>
        </is>
      </c>
      <c r="B99" s="4" t="inlineStr">
        <is>
          <t>Introduction to Blockchain in Accounting</t>
        </is>
      </c>
      <c r="C99" s="4" t="inlineStr">
        <is>
          <t>Ben Tanaka</t>
        </is>
      </c>
      <c r="D99" s="5" t="n">
        <v>46304</v>
      </c>
      <c r="E99" s="4" t="inlineStr">
        <is>
          <t>Self-study</t>
        </is>
      </c>
      <c r="F99" s="4" t="n">
        <v>100</v>
      </c>
      <c r="G99" s="4" t="inlineStr">
        <is>
          <t>Finance</t>
        </is>
      </c>
      <c r="H99" s="4" t="inlineStr">
        <is>
          <t>Advanced</t>
        </is>
      </c>
      <c r="I99" s="4" t="n">
        <v>3</v>
      </c>
      <c r="J99" s="4" t="n">
        <v>0</v>
      </c>
      <c r="K99" s="4" t="n">
        <v>6</v>
      </c>
      <c r="L99" s="4" t="inlineStr">
        <is>
          <t>N</t>
        </is>
      </c>
      <c r="M99" s="5" t="n">
        <v>46309</v>
      </c>
      <c r="N99" s="4" t="inlineStr">
        <is>
          <t>CPE Desk - Omar</t>
        </is>
      </c>
      <c r="O99" s="4" t="inlineStr">
        <is>
          <t>Needs Correction</t>
        </is>
      </c>
    </row>
    <row r="100">
      <c r="A100" s="4" t="inlineStr">
        <is>
          <t>CPE-2026-099</t>
        </is>
      </c>
      <c r="B100" s="4" t="inlineStr">
        <is>
          <t>Mastering Remote Audit Techniques</t>
        </is>
      </c>
      <c r="C100" s="4" t="inlineStr">
        <is>
          <t>Irene Schultz</t>
        </is>
      </c>
      <c r="D100" s="5" t="n">
        <v>46309</v>
      </c>
      <c r="E100" s="4" t="inlineStr">
        <is>
          <t>Group</t>
        </is>
      </c>
      <c r="F100" s="4" t="n">
        <v>45</v>
      </c>
      <c r="G100" s="4" t="inlineStr">
        <is>
          <t>Accounting</t>
        </is>
      </c>
      <c r="H100" s="4" t="inlineStr">
        <is>
          <t>Intermediate</t>
        </is>
      </c>
      <c r="I100" s="4" t="n">
        <v>0</v>
      </c>
      <c r="J100" s="4" t="n">
        <v>3</v>
      </c>
      <c r="K100" s="4" t="n">
        <v>0</v>
      </c>
      <c r="L100" s="4" t="inlineStr">
        <is>
          <t>N</t>
        </is>
      </c>
      <c r="M100" s="5" t="n">
        <v>46314</v>
      </c>
      <c r="N100" s="4" t="inlineStr">
        <is>
          <t>CPE Desk - Priya</t>
        </is>
      </c>
      <c r="O100" s="4" t="inlineStr">
        <is>
          <t>Needs Correction</t>
        </is>
      </c>
    </row>
    <row r="101">
      <c r="A101" s="2" t="inlineStr">
        <is>
          <t>CPE-2026-100</t>
        </is>
      </c>
      <c r="B101" s="2" t="inlineStr">
        <is>
          <t>Deep Dive into Cybersecurity Risk</t>
        </is>
      </c>
      <c r="C101" s="2" t="inlineStr">
        <is>
          <t>Clara Singh</t>
        </is>
      </c>
      <c r="D101" s="3" t="n">
        <v>46284</v>
      </c>
      <c r="E101" s="2" t="inlineStr">
        <is>
          <t>Self-study</t>
        </is>
      </c>
      <c r="F101" s="2" t="n">
        <v>150</v>
      </c>
      <c r="G101" s="2" t="inlineStr">
        <is>
          <t>Taxation</t>
        </is>
      </c>
      <c r="H101" s="2" t="inlineStr">
        <is>
          <t>Basic</t>
        </is>
      </c>
      <c r="I101" s="2" t="n">
        <v>9</v>
      </c>
      <c r="J101" s="2" t="n">
        <v>0</v>
      </c>
      <c r="K101" s="2" t="n">
        <v>9</v>
      </c>
      <c r="L101" s="2" t="inlineStr">
        <is>
          <t>Y</t>
        </is>
      </c>
      <c r="M101" s="3" t="n">
        <v>46289</v>
      </c>
      <c r="N101" s="2" t="inlineStr">
        <is>
          <t>CPE Desk - Sarah</t>
        </is>
      </c>
      <c r="O101" s="2" t="inlineStr">
        <is>
          <t>Approved</t>
        </is>
      </c>
    </row>
  </sheetData>
  <autoFilter ref="A1:O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9" customWidth="1" min="3" max="3"/>
    <col width="17" customWidth="1" min="4" max="4"/>
    <col width="23" customWidth="1" min="5" max="5"/>
    <col width="42" customWidth="1" min="6" max="6"/>
  </cols>
  <sheetData>
    <row r="1">
      <c r="A1" s="1" t="inlineStr">
        <is>
          <t>Label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Note</t>
        </is>
      </c>
    </row>
    <row r="2">
      <c r="A2" s="10" t="inlineStr">
        <is>
          <t>NASBA-Style Rules – Editable Parameters</t>
        </is>
      </c>
      <c r="B2" s="11" t="inlineStr"/>
      <c r="C2" s="12" t="inlineStr"/>
      <c r="D2" s="13" t="inlineStr"/>
      <c r="E2" s="13" t="inlineStr"/>
      <c r="F2" s="13" t="inlineStr"/>
    </row>
    <row r="3">
      <c r="A3" s="13" t="inlineStr"/>
      <c r="B3" s="11" t="inlineStr"/>
      <c r="C3" s="12" t="inlineStr"/>
      <c r="D3" s="13" t="inlineStr"/>
      <c r="E3" s="13" t="inlineStr"/>
      <c r="F3" s="13" t="inlineStr"/>
    </row>
    <row r="4">
      <c r="A4" s="14" t="inlineStr">
        <is>
          <t>LEARNING OBJECTIVES</t>
        </is>
      </c>
      <c r="B4" s="14" t="inlineStr"/>
      <c r="C4" s="14" t="inlineStr"/>
      <c r="D4" s="14" t="inlineStr"/>
      <c r="E4" s="14" t="inlineStr"/>
      <c r="F4" s="14" t="inlineStr"/>
    </row>
    <row r="5">
      <c r="A5" s="13" t="inlineStr">
        <is>
          <t>Minimum objectives per 50 min</t>
        </is>
      </c>
      <c r="B5" s="11" t="inlineStr">
        <is>
          <t>MIN_OBJ_PER_50</t>
        </is>
      </c>
      <c r="C5" s="12" t="n">
        <v>3</v>
      </c>
      <c r="D5" s="13" t="inlineStr">
        <is>
          <t>per 50 min</t>
        </is>
      </c>
      <c r="E5" s="13" t="inlineStr">
        <is>
          <t>IASA / NASBA</t>
        </is>
      </c>
      <c r="F5" s="13" t="inlineStr">
        <is>
          <t>3 objectives per 50-minute credit hour</t>
        </is>
      </c>
    </row>
    <row r="6">
      <c r="A6" s="13" t="inlineStr">
        <is>
          <t>Minimum duration to award any credit</t>
        </is>
      </c>
      <c r="B6" s="11" t="inlineStr">
        <is>
          <t>MIN_DURATION_MIN</t>
        </is>
      </c>
      <c r="C6" s="12" t="n">
        <v>25</v>
      </c>
      <c r="D6" s="13" t="inlineStr">
        <is>
          <t>minutes</t>
        </is>
      </c>
      <c r="E6" s="13" t="inlineStr">
        <is>
          <t>NASBA</t>
        </is>
      </c>
      <c r="F6" s="13" t="inlineStr">
        <is>
          <t>&lt; 25 min = 0 credits</t>
        </is>
      </c>
    </row>
    <row r="7">
      <c r="A7" s="13" t="inlineStr"/>
      <c r="B7" s="11" t="inlineStr"/>
      <c r="C7" s="12" t="inlineStr"/>
      <c r="D7" s="13" t="inlineStr"/>
      <c r="E7" s="13" t="inlineStr"/>
      <c r="F7" s="13" t="inlineStr"/>
    </row>
    <row r="8">
      <c r="A8" s="13" t="inlineStr">
        <is>
          <t>ATTENDANCE &amp; ENGAGEMENT (Group)</t>
        </is>
      </c>
      <c r="B8" s="11" t="inlineStr"/>
      <c r="C8" s="12" t="inlineStr"/>
      <c r="D8" s="13" t="inlineStr"/>
      <c r="E8" s="13" t="inlineStr"/>
      <c r="F8" s="13" t="inlineStr"/>
    </row>
    <row r="9">
      <c r="A9" s="13" t="inlineStr">
        <is>
          <t>Min attendance checks per 50-min hour (Group-live tech)</t>
        </is>
      </c>
      <c r="B9" s="11" t="inlineStr">
        <is>
          <t>MIN_ATT_PER_50</t>
        </is>
      </c>
      <c r="C9" s="12" t="n">
        <v>3</v>
      </c>
      <c r="D9" s="13" t="inlineStr">
        <is>
          <t>per 50 min</t>
        </is>
      </c>
      <c r="E9" s="13" t="inlineStr">
        <is>
          <t>LearnSignal / NASBA</t>
        </is>
      </c>
      <c r="F9" s="13" t="inlineStr">
        <is>
          <t>Three checks per credit hour</t>
        </is>
      </c>
    </row>
    <row r="10">
      <c r="A10" s="13" t="inlineStr"/>
      <c r="B10" s="11" t="inlineStr"/>
      <c r="C10" s="12" t="inlineStr"/>
      <c r="D10" s="13" t="inlineStr"/>
      <c r="E10" s="13" t="inlineStr"/>
      <c r="F10" s="13" t="inlineStr"/>
    </row>
    <row r="11">
      <c r="A11" s="14" t="inlineStr">
        <is>
          <t>SELF-STUDY</t>
        </is>
      </c>
      <c r="B11" s="14" t="inlineStr"/>
      <c r="C11" s="14" t="inlineStr"/>
      <c r="D11" s="14" t="inlineStr"/>
      <c r="E11" s="14" t="inlineStr"/>
      <c r="F11" s="14" t="inlineStr"/>
    </row>
    <row r="12">
      <c r="A12" s="13" t="inlineStr">
        <is>
          <t>Min review questions per credit hour (Self-study)</t>
        </is>
      </c>
      <c r="B12" s="11" t="inlineStr">
        <is>
          <t>MIN_RQ_PER_CREDIT</t>
        </is>
      </c>
      <c r="C12" s="12" t="n">
        <v>3</v>
      </c>
      <c r="D12" s="13" t="inlineStr">
        <is>
          <t>per credit</t>
        </is>
      </c>
      <c r="E12" s="13" t="inlineStr">
        <is>
          <t>NASBA SS Standard</t>
        </is>
      </c>
      <c r="F12" s="13" t="inlineStr">
        <is>
          <t>Verify against current NASBA self-study standard</t>
        </is>
      </c>
    </row>
    <row r="13">
      <c r="A13" s="13" t="inlineStr"/>
      <c r="B13" s="11" t="inlineStr"/>
      <c r="C13" s="12" t="inlineStr"/>
      <c r="D13" s="13" t="inlineStr"/>
      <c r="E13" s="13" t="inlineStr"/>
      <c r="F13" s="13" t="inlineStr"/>
    </row>
    <row r="14">
      <c r="A14" s="14" t="inlineStr">
        <is>
          <t>CREDIT ROUNDING</t>
        </is>
      </c>
      <c r="B14" s="14" t="inlineStr"/>
      <c r="C14" s="14" t="inlineStr"/>
      <c r="D14" s="14" t="inlineStr"/>
      <c r="E14" s="14" t="inlineStr"/>
      <c r="F14" s="14" t="inlineStr"/>
    </row>
    <row r="15">
      <c r="A15" s="13" t="inlineStr">
        <is>
          <t>Half-credit increment (Group programs)</t>
        </is>
      </c>
      <c r="B15" s="11" t="inlineStr">
        <is>
          <t>CREDIT_INCREMENT</t>
        </is>
      </c>
      <c r="C15" s="12" t="n">
        <v>0.5</v>
      </c>
      <c r="D15" s="13" t="inlineStr">
        <is>
          <t>credits</t>
        </is>
      </c>
      <c r="E15" s="13" t="inlineStr">
        <is>
          <t>NASBA</t>
        </is>
      </c>
      <c r="F15" s="13" t="inlineStr">
        <is>
          <t>FLOOR(min/50, 0.5)</t>
        </is>
      </c>
    </row>
    <row r="16">
      <c r="A16" s="13" t="inlineStr">
        <is>
          <t>Fifth-credit increment (alt rounding)</t>
        </is>
      </c>
      <c r="B16" s="11" t="inlineStr">
        <is>
          <t>CREDIT_INCREMENT_5TH</t>
        </is>
      </c>
      <c r="C16" s="12" t="n">
        <v>0.2</v>
      </c>
      <c r="D16" s="13" t="inlineStr">
        <is>
          <t>credits</t>
        </is>
      </c>
      <c r="E16" s="13" t="inlineStr">
        <is>
          <t>NASBA alt</t>
        </is>
      </c>
      <c r="F16" s="13" t="inlineStr">
        <is>
          <t>ROUNDDOWN(min/50*5,0)/5</t>
        </is>
      </c>
    </row>
    <row r="17">
      <c r="A17" s="13" t="inlineStr"/>
      <c r="B17" s="11" t="inlineStr"/>
      <c r="C17" s="12" t="inlineStr"/>
      <c r="D17" s="13" t="inlineStr"/>
      <c r="E17" s="13" t="inlineStr"/>
      <c r="F17" s="13" t="inlineStr"/>
    </row>
    <row r="18">
      <c r="A18" s="14" t="inlineStr">
        <is>
          <t>REQUIRED FIELDS</t>
        </is>
      </c>
      <c r="B18" s="14" t="inlineStr"/>
      <c r="C18" s="14" t="inlineStr"/>
      <c r="D18" s="14" t="inlineStr"/>
      <c r="E18" s="14" t="inlineStr"/>
      <c r="F18" s="14" t="inlineStr"/>
    </row>
    <row r="19">
      <c r="A19" s="13" t="inlineStr">
        <is>
          <t>Field of Study required</t>
        </is>
      </c>
      <c r="B19" s="11" t="inlineStr">
        <is>
          <t>FOS_REQUIRED</t>
        </is>
      </c>
      <c r="C19" s="12" t="inlineStr">
        <is>
          <t>Y</t>
        </is>
      </c>
      <c r="D19" s="13" t="inlineStr">
        <is>
          <t>—</t>
        </is>
      </c>
      <c r="E19" s="13" t="inlineStr">
        <is>
          <t>NASBA</t>
        </is>
      </c>
      <c r="F19" s="13" t="inlineStr">
        <is>
          <t>Must not be blank</t>
        </is>
      </c>
    </row>
    <row r="20">
      <c r="A20" s="13" t="inlineStr">
        <is>
          <t>Program Level required</t>
        </is>
      </c>
      <c r="B20" s="11" t="inlineStr">
        <is>
          <t>LEVEL_REQUIRED</t>
        </is>
      </c>
      <c r="C20" s="12" t="inlineStr">
        <is>
          <t>Y</t>
        </is>
      </c>
      <c r="D20" s="13" t="inlineStr">
        <is>
          <t>—</t>
        </is>
      </c>
      <c r="E20" s="13" t="inlineStr">
        <is>
          <t>NASBA</t>
        </is>
      </c>
      <c r="F20" s="13" t="inlineStr">
        <is>
          <t>Basic / Intermediate / Advanced</t>
        </is>
      </c>
    </row>
    <row r="21">
      <c r="A21" s="13" t="inlineStr">
        <is>
          <t>Delivery Method required</t>
        </is>
      </c>
      <c r="B21" s="11" t="inlineStr">
        <is>
          <t>METHOD_REQUIRED</t>
        </is>
      </c>
      <c r="C21" s="12" t="inlineStr">
        <is>
          <t>Y</t>
        </is>
      </c>
      <c r="D21" s="13" t="inlineStr">
        <is>
          <t>—</t>
        </is>
      </c>
      <c r="E21" s="13" t="inlineStr">
        <is>
          <t>NASBA</t>
        </is>
      </c>
      <c r="F21" s="13" t="inlineStr">
        <is>
          <t>Group or Self-study</t>
        </is>
      </c>
    </row>
    <row r="22">
      <c r="A22" s="13" t="inlineStr">
        <is>
          <t>Prerequisites documented</t>
        </is>
      </c>
      <c r="B22" s="11" t="inlineStr">
        <is>
          <t>PREREQ_REQUIRED</t>
        </is>
      </c>
      <c r="C22" s="12" t="inlineStr">
        <is>
          <t>Y</t>
        </is>
      </c>
      <c r="D22" s="13" t="inlineStr">
        <is>
          <t>—</t>
        </is>
      </c>
      <c r="E22" s="13" t="inlineStr">
        <is>
          <t>NASBA</t>
        </is>
      </c>
      <c r="F22" s="13" t="inlineStr">
        <is>
          <t>Y or N must be stated</t>
        </is>
      </c>
    </row>
    <row r="23">
      <c r="A23" s="13" t="inlineStr"/>
      <c r="B23" s="11" t="inlineStr"/>
      <c r="C23" s="12" t="inlineStr"/>
      <c r="D23" s="13" t="inlineStr"/>
      <c r="E23" s="13" t="inlineStr"/>
      <c r="F23" s="13" t="inlineStr"/>
    </row>
    <row r="24">
      <c r="A24" s="14" t="inlineStr">
        <is>
          <t>SLA</t>
        </is>
      </c>
      <c r="B24" s="14" t="inlineStr"/>
      <c r="C24" s="14" t="inlineStr"/>
      <c r="D24" s="14" t="inlineStr"/>
      <c r="E24" s="14" t="inlineStr"/>
      <c r="F24" s="14" t="inlineStr"/>
    </row>
    <row r="25">
      <c r="A25" s="13" t="inlineStr">
        <is>
          <t>SLA turnaround days</t>
        </is>
      </c>
      <c r="B25" s="11" t="inlineStr">
        <is>
          <t>SLA_DAYS</t>
        </is>
      </c>
      <c r="C25" s="12" t="n">
        <v>5</v>
      </c>
      <c r="D25" s="13" t="inlineStr">
        <is>
          <t>business days</t>
        </is>
      </c>
      <c r="E25" s="13" t="inlineStr">
        <is>
          <t>Firm policy</t>
        </is>
      </c>
      <c r="F25" s="13" t="inlineStr">
        <is>
          <t>Submitted date + 5 days</t>
        </is>
      </c>
    </row>
    <row r="26">
      <c r="A26" s="13" t="inlineStr">
        <is>
          <t>Due-soon warning threshold</t>
        </is>
      </c>
      <c r="B26" s="11" t="inlineStr">
        <is>
          <t>DUE_SOON_DAYS</t>
        </is>
      </c>
      <c r="C26" s="12" t="n">
        <v>1</v>
      </c>
      <c r="D26" s="13" t="inlineStr">
        <is>
          <t>days</t>
        </is>
      </c>
      <c r="E26" s="13" t="inlineStr">
        <is>
          <t>Firm policy</t>
        </is>
      </c>
      <c r="F26" s="13" t="inlineStr">
        <is>
          <t>Amber flag within 1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23" customWidth="1" min="5" max="5"/>
    <col width="34" customWidth="1" min="6" max="6"/>
    <col width="33" customWidth="1" min="7" max="7"/>
    <col width="21" customWidth="1" min="8" max="8"/>
    <col width="40" customWidth="1" min="9" max="9"/>
    <col width="40" customWidth="1" min="10" max="10"/>
    <col width="18" customWidth="1" min="11" max="11"/>
    <col width="40" customWidth="1" min="12" max="12"/>
    <col width="18" customWidth="1" min="13" max="13"/>
    <col width="40" customWidth="1" min="14" max="14"/>
    <col width="20" customWidth="1" min="15" max="15"/>
    <col width="40" customWidth="1" min="16" max="16"/>
    <col width="37" customWidth="1" min="17" max="17"/>
    <col width="40" customWidth="1" min="18" max="18"/>
    <col width="40" customWidth="1" min="19" max="19"/>
    <col width="40" customWidth="1" min="20" max="20"/>
    <col width="40" customWidth="1" min="21" max="21"/>
  </cols>
  <sheetData>
    <row r="1">
      <c r="A1" s="15" t="inlineStr">
        <is>
          <t>Request ID</t>
        </is>
      </c>
      <c r="B1" s="15" t="inlineStr">
        <is>
          <t>Course Title</t>
        </is>
      </c>
      <c r="C1" s="15" t="inlineStr">
        <is>
          <t>Duration (min)</t>
        </is>
      </c>
      <c r="D1" s="15" t="inlineStr">
        <is>
          <t>Delivery Method</t>
        </is>
      </c>
      <c r="E1" s="15" t="inlineStr">
        <is>
          <t>Learning Objectives</t>
        </is>
      </c>
      <c r="F1" s="15" t="inlineStr">
        <is>
          <t>Min Obj Needed</t>
        </is>
      </c>
      <c r="G1" s="15" t="inlineStr">
        <is>
          <t>Obj Check</t>
        </is>
      </c>
      <c r="H1" s="15" t="inlineStr">
        <is>
          <t>Attendance Checks</t>
        </is>
      </c>
      <c r="I1" s="15" t="inlineStr">
        <is>
          <t>Min Att Needed</t>
        </is>
      </c>
      <c r="J1" s="15" t="inlineStr">
        <is>
          <t>Att Check</t>
        </is>
      </c>
      <c r="K1" s="15" t="inlineStr">
        <is>
          <t>Field of Study</t>
        </is>
      </c>
      <c r="L1" s="15" t="inlineStr">
        <is>
          <t>FOS Check</t>
        </is>
      </c>
      <c r="M1" s="15" t="inlineStr">
        <is>
          <t>Program Level</t>
        </is>
      </c>
      <c r="N1" s="15" t="inlineStr">
        <is>
          <t>Level Check</t>
        </is>
      </c>
      <c r="O1" s="15" t="inlineStr">
        <is>
          <t>Review Questions</t>
        </is>
      </c>
      <c r="P1" s="15" t="inlineStr">
        <is>
          <t>RQ Check</t>
        </is>
      </c>
      <c r="Q1" s="15" t="inlineStr">
        <is>
          <t>Credits (Half)</t>
        </is>
      </c>
      <c r="R1" s="15" t="inlineStr">
        <is>
          <t>Credits (Fifth)</t>
        </is>
      </c>
      <c r="S1" s="15" t="inlineStr">
        <is>
          <t>SLA Flag</t>
        </is>
      </c>
      <c r="T1" s="15" t="inlineStr">
        <is>
          <t>Decision</t>
        </is>
      </c>
      <c r="U1" s="15" t="inlineStr">
        <is>
          <t>Reason</t>
        </is>
      </c>
    </row>
    <row r="2">
      <c r="A2" s="16">
        <f>Requests!A2</f>
        <v/>
      </c>
      <c r="B2" s="16">
        <f>Requests!B2</f>
        <v/>
      </c>
      <c r="C2" s="16">
        <f>Requests!F2</f>
        <v/>
      </c>
      <c r="D2" s="16">
        <f>Requests!E2</f>
        <v/>
      </c>
      <c r="E2" s="16">
        <f>Requests!I2</f>
        <v/>
      </c>
      <c r="F2" s="16">
        <f>ROUNDUP(C2/50*Rules!$C$5,0)</f>
        <v/>
      </c>
      <c r="G2" s="16">
        <f>IF(E2&gt;=F2,"Pass","Fail")</f>
        <v/>
      </c>
      <c r="H2" s="16">
        <f>Requests!J2</f>
        <v/>
      </c>
      <c r="I2" s="16">
        <f>IF(D2="Group",ROUNDUP(C2/50*Rules!$C$9,0),0)</f>
        <v/>
      </c>
      <c r="J2" s="16">
        <f>IF(D2="Self-study","N/A",IF(H2&gt;=I2,"Pass","Fail"))</f>
        <v/>
      </c>
      <c r="K2" s="16">
        <f>Requests!G2</f>
        <v/>
      </c>
      <c r="L2" s="16">
        <f>IF(K2&lt;&gt;"","Pass","Fail – Missing FOS")</f>
        <v/>
      </c>
      <c r="M2" s="16">
        <f>Requests!H2</f>
        <v/>
      </c>
      <c r="N2" s="16">
        <f>IF(OR(M2="Basic",M2="Intermediate",M2="Advanced"),"Pass","Fail")</f>
        <v/>
      </c>
      <c r="O2" s="16">
        <f>Requests!K2</f>
        <v/>
      </c>
      <c r="P2" s="16">
        <f>IF(D2="Self-study",IF(O2&gt;=ROUNDUP(Q2*Rules!$C$12,0),"Pass","Fail"),"N/A")</f>
        <v/>
      </c>
      <c r="Q2" s="17">
        <f>IF(C2&lt;25,0,FLOOR(C2/50,0.5))</f>
        <v/>
      </c>
      <c r="R2" s="17">
        <f>IF(C2&lt;50,0,ROUNDDOWN(C2/50*5,0)/5)</f>
        <v/>
      </c>
      <c r="S2" s="16">
        <f>IF(AND(Requests!O2&lt;&gt;"Approved",Requests!M2&lt;TODAY()),"Overdue",IF(Requests!M2-TODAY()&lt;=Rules!$C$26,"Due Soon","On Track"))</f>
        <v/>
      </c>
      <c r="T2" s="16">
        <f>IF(AND(G2="Pass",J2&lt;&gt;"Fail",L2="Pass",N2="Pass",P2&lt;&gt;"Fail"),"Approved",IF(OR(L2="Fail – Missing FOS",N2="Fail"),"Escalate","Needs Correction"))</f>
        <v/>
      </c>
      <c r="U2" s="16">
        <f>IFERROR(IF(G2&lt;&gt;"Pass","Insufficient learning objectives; ","")&amp;IF(AND(J2="Fail",D2="Group"),"Missing attendance checks; ","")&amp;IF(L2&lt;&gt;"Pass","Missing field of study; ","")&amp;IF(N2&lt;&gt;"Pass","Invalid program level; ","")&amp;IF(AND(P2="Fail",D2="Self-study"),"Insufficient review questions; ",""),"Check data")</f>
        <v/>
      </c>
    </row>
    <row r="3">
      <c r="A3" s="16">
        <f>Requests!A3</f>
        <v/>
      </c>
      <c r="B3" s="16">
        <f>Requests!B3</f>
        <v/>
      </c>
      <c r="C3" s="16">
        <f>Requests!F3</f>
        <v/>
      </c>
      <c r="D3" s="16">
        <f>Requests!E3</f>
        <v/>
      </c>
      <c r="E3" s="16">
        <f>Requests!I3</f>
        <v/>
      </c>
      <c r="F3" s="16">
        <f>ROUNDUP(C3/50*Rules!$C$5,0)</f>
        <v/>
      </c>
      <c r="G3" s="16">
        <f>IF(E3&gt;=F3,"Pass","Fail")</f>
        <v/>
      </c>
      <c r="H3" s="16">
        <f>Requests!J3</f>
        <v/>
      </c>
      <c r="I3" s="16">
        <f>IF(D3="Group",ROUNDUP(C3/50*Rules!$C$9,0),0)</f>
        <v/>
      </c>
      <c r="J3" s="16">
        <f>IF(D3="Self-study","N/A",IF(H3&gt;=I3,"Pass","Fail"))</f>
        <v/>
      </c>
      <c r="K3" s="16">
        <f>Requests!G3</f>
        <v/>
      </c>
      <c r="L3" s="16">
        <f>IF(K3&lt;&gt;"","Pass","Fail – Missing FOS")</f>
        <v/>
      </c>
      <c r="M3" s="16">
        <f>Requests!H3</f>
        <v/>
      </c>
      <c r="N3" s="16">
        <f>IF(OR(M3="Basic",M3="Intermediate",M3="Advanced"),"Pass","Fail")</f>
        <v/>
      </c>
      <c r="O3" s="16">
        <f>Requests!K3</f>
        <v/>
      </c>
      <c r="P3" s="16">
        <f>IF(D3="Self-study",IF(O3&gt;=ROUNDUP(Q3*Rules!$C$12,0),"Pass","Fail"),"N/A")</f>
        <v/>
      </c>
      <c r="Q3" s="17">
        <f>IF(C3&lt;25,0,FLOOR(C3/50,0.5))</f>
        <v/>
      </c>
      <c r="R3" s="17">
        <f>IF(C3&lt;50,0,ROUNDDOWN(C3/50*5,0)/5)</f>
        <v/>
      </c>
      <c r="S3" s="16">
        <f>IF(AND(Requests!O3&lt;&gt;"Approved",Requests!M3&lt;TODAY()),"Overdue",IF(Requests!M3-TODAY()&lt;=Rules!$C$26,"Due Soon","On Track"))</f>
        <v/>
      </c>
      <c r="T3" s="16">
        <f>IF(AND(G3="Pass",J3&lt;&gt;"Fail",L3="Pass",N3="Pass",P3&lt;&gt;"Fail"),"Approved",IF(OR(L3="Fail – Missing FOS",N3="Fail"),"Escalate","Needs Correction"))</f>
        <v/>
      </c>
      <c r="U3" s="16">
        <f>IFERROR(IF(G3&lt;&gt;"Pass","Insufficient learning objectives; ","")&amp;IF(AND(J3="Fail",D3="Group"),"Missing attendance checks; ","")&amp;IF(L3&lt;&gt;"Pass","Missing field of study; ","")&amp;IF(N3&lt;&gt;"Pass","Invalid program level; ","")&amp;IF(AND(P3="Fail",D3="Self-study"),"Insufficient review questions; ",""),"Check data")</f>
        <v/>
      </c>
    </row>
    <row r="4">
      <c r="A4" s="16">
        <f>Requests!A4</f>
        <v/>
      </c>
      <c r="B4" s="16">
        <f>Requests!B4</f>
        <v/>
      </c>
      <c r="C4" s="16">
        <f>Requests!F4</f>
        <v/>
      </c>
      <c r="D4" s="16">
        <f>Requests!E4</f>
        <v/>
      </c>
      <c r="E4" s="16">
        <f>Requests!I4</f>
        <v/>
      </c>
      <c r="F4" s="16">
        <f>ROUNDUP(C4/50*Rules!$C$5,0)</f>
        <v/>
      </c>
      <c r="G4" s="16">
        <f>IF(E4&gt;=F4,"Pass","Fail")</f>
        <v/>
      </c>
      <c r="H4" s="16">
        <f>Requests!J4</f>
        <v/>
      </c>
      <c r="I4" s="16">
        <f>IF(D4="Group",ROUNDUP(C4/50*Rules!$C$9,0),0)</f>
        <v/>
      </c>
      <c r="J4" s="16">
        <f>IF(D4="Self-study","N/A",IF(H4&gt;=I4,"Pass","Fail"))</f>
        <v/>
      </c>
      <c r="K4" s="16">
        <f>Requests!G4</f>
        <v/>
      </c>
      <c r="L4" s="16">
        <f>IF(K4&lt;&gt;"","Pass","Fail – Missing FOS")</f>
        <v/>
      </c>
      <c r="M4" s="16">
        <f>Requests!H4</f>
        <v/>
      </c>
      <c r="N4" s="16">
        <f>IF(OR(M4="Basic",M4="Intermediate",M4="Advanced"),"Pass","Fail")</f>
        <v/>
      </c>
      <c r="O4" s="16">
        <f>Requests!K4</f>
        <v/>
      </c>
      <c r="P4" s="16">
        <f>IF(D4="Self-study",IF(O4&gt;=ROUNDUP(Q4*Rules!$C$12,0),"Pass","Fail"),"N/A")</f>
        <v/>
      </c>
      <c r="Q4" s="17">
        <f>IF(C4&lt;25,0,FLOOR(C4/50,0.5))</f>
        <v/>
      </c>
      <c r="R4" s="17">
        <f>IF(C4&lt;50,0,ROUNDDOWN(C4/50*5,0)/5)</f>
        <v/>
      </c>
      <c r="S4" s="16">
        <f>IF(AND(Requests!O4&lt;&gt;"Approved",Requests!M4&lt;TODAY()),"Overdue",IF(Requests!M4-TODAY()&lt;=Rules!$C$26,"Due Soon","On Track"))</f>
        <v/>
      </c>
      <c r="T4" s="16">
        <f>IF(AND(G4="Pass",J4&lt;&gt;"Fail",L4="Pass",N4="Pass",P4&lt;&gt;"Fail"),"Approved",IF(OR(L4="Fail – Missing FOS",N4="Fail"),"Escalate","Needs Correction"))</f>
        <v/>
      </c>
      <c r="U4" s="16">
        <f>IFERROR(IF(G4&lt;&gt;"Pass","Insufficient learning objectives; ","")&amp;IF(AND(J4="Fail",D4="Group"),"Missing attendance checks; ","")&amp;IF(L4&lt;&gt;"Pass","Missing field of study; ","")&amp;IF(N4&lt;&gt;"Pass","Invalid program level; ","")&amp;IF(AND(P4="Fail",D4="Self-study"),"Insufficient review questions; ",""),"Check data")</f>
        <v/>
      </c>
    </row>
    <row r="5">
      <c r="A5" s="16">
        <f>Requests!A5</f>
        <v/>
      </c>
      <c r="B5" s="16">
        <f>Requests!B5</f>
        <v/>
      </c>
      <c r="C5" s="16">
        <f>Requests!F5</f>
        <v/>
      </c>
      <c r="D5" s="16">
        <f>Requests!E5</f>
        <v/>
      </c>
      <c r="E5" s="16">
        <f>Requests!I5</f>
        <v/>
      </c>
      <c r="F5" s="16">
        <f>ROUNDUP(C5/50*Rules!$C$5,0)</f>
        <v/>
      </c>
      <c r="G5" s="16">
        <f>IF(E5&gt;=F5,"Pass","Fail")</f>
        <v/>
      </c>
      <c r="H5" s="16">
        <f>Requests!J5</f>
        <v/>
      </c>
      <c r="I5" s="16">
        <f>IF(D5="Group",ROUNDUP(C5/50*Rules!$C$9,0),0)</f>
        <v/>
      </c>
      <c r="J5" s="16">
        <f>IF(D5="Self-study","N/A",IF(H5&gt;=I5,"Pass","Fail"))</f>
        <v/>
      </c>
      <c r="K5" s="16">
        <f>Requests!G5</f>
        <v/>
      </c>
      <c r="L5" s="16">
        <f>IF(K5&lt;&gt;"","Pass","Fail – Missing FOS")</f>
        <v/>
      </c>
      <c r="M5" s="16">
        <f>Requests!H5</f>
        <v/>
      </c>
      <c r="N5" s="16">
        <f>IF(OR(M5="Basic",M5="Intermediate",M5="Advanced"),"Pass","Fail")</f>
        <v/>
      </c>
      <c r="O5" s="16">
        <f>Requests!K5</f>
        <v/>
      </c>
      <c r="P5" s="16">
        <f>IF(D5="Self-study",IF(O5&gt;=ROUNDUP(Q5*Rules!$C$12,0),"Pass","Fail"),"N/A")</f>
        <v/>
      </c>
      <c r="Q5" s="17">
        <f>IF(C5&lt;25,0,FLOOR(C5/50,0.5))</f>
        <v/>
      </c>
      <c r="R5" s="17">
        <f>IF(C5&lt;50,0,ROUNDDOWN(C5/50*5,0)/5)</f>
        <v/>
      </c>
      <c r="S5" s="16">
        <f>IF(AND(Requests!O5&lt;&gt;"Approved",Requests!M5&lt;TODAY()),"Overdue",IF(Requests!M5-TODAY()&lt;=Rules!$C$26,"Due Soon","On Track"))</f>
        <v/>
      </c>
      <c r="T5" s="16">
        <f>IF(AND(G5="Pass",J5&lt;&gt;"Fail",L5="Pass",N5="Pass",P5&lt;&gt;"Fail"),"Approved",IF(OR(L5="Fail – Missing FOS",N5="Fail"),"Escalate","Needs Correction"))</f>
        <v/>
      </c>
      <c r="U5" s="16">
        <f>IFERROR(IF(G5&lt;&gt;"Pass","Insufficient learning objectives; ","")&amp;IF(AND(J5="Fail",D5="Group"),"Missing attendance checks; ","")&amp;IF(L5&lt;&gt;"Pass","Missing field of study; ","")&amp;IF(N5&lt;&gt;"Pass","Invalid program level; ","")&amp;IF(AND(P5="Fail",D5="Self-study"),"Insufficient review questions; ",""),"Check data")</f>
        <v/>
      </c>
    </row>
    <row r="6">
      <c r="A6" s="16">
        <f>Requests!A6</f>
        <v/>
      </c>
      <c r="B6" s="16">
        <f>Requests!B6</f>
        <v/>
      </c>
      <c r="C6" s="16">
        <f>Requests!F6</f>
        <v/>
      </c>
      <c r="D6" s="16">
        <f>Requests!E6</f>
        <v/>
      </c>
      <c r="E6" s="16">
        <f>Requests!I6</f>
        <v/>
      </c>
      <c r="F6" s="16">
        <f>ROUNDUP(C6/50*Rules!$C$5,0)</f>
        <v/>
      </c>
      <c r="G6" s="16">
        <f>IF(E6&gt;=F6,"Pass","Fail")</f>
        <v/>
      </c>
      <c r="H6" s="16">
        <f>Requests!J6</f>
        <v/>
      </c>
      <c r="I6" s="16">
        <f>IF(D6="Group",ROUNDUP(C6/50*Rules!$C$9,0),0)</f>
        <v/>
      </c>
      <c r="J6" s="16">
        <f>IF(D6="Self-study","N/A",IF(H6&gt;=I6,"Pass","Fail"))</f>
        <v/>
      </c>
      <c r="K6" s="16">
        <f>Requests!G6</f>
        <v/>
      </c>
      <c r="L6" s="16">
        <f>IF(K6&lt;&gt;"","Pass","Fail – Missing FOS")</f>
        <v/>
      </c>
      <c r="M6" s="16">
        <f>Requests!H6</f>
        <v/>
      </c>
      <c r="N6" s="16">
        <f>IF(OR(M6="Basic",M6="Intermediate",M6="Advanced"),"Pass","Fail")</f>
        <v/>
      </c>
      <c r="O6" s="16">
        <f>Requests!K6</f>
        <v/>
      </c>
      <c r="P6" s="16">
        <f>IF(D6="Self-study",IF(O6&gt;=ROUNDUP(Q6*Rules!$C$12,0),"Pass","Fail"),"N/A")</f>
        <v/>
      </c>
      <c r="Q6" s="17">
        <f>IF(C6&lt;25,0,FLOOR(C6/50,0.5))</f>
        <v/>
      </c>
      <c r="R6" s="17">
        <f>IF(C6&lt;50,0,ROUNDDOWN(C6/50*5,0)/5)</f>
        <v/>
      </c>
      <c r="S6" s="16">
        <f>IF(AND(Requests!O6&lt;&gt;"Approved",Requests!M6&lt;TODAY()),"Overdue",IF(Requests!M6-TODAY()&lt;=Rules!$C$26,"Due Soon","On Track"))</f>
        <v/>
      </c>
      <c r="T6" s="16">
        <f>IF(AND(G6="Pass",J6&lt;&gt;"Fail",L6="Pass",N6="Pass",P6&lt;&gt;"Fail"),"Approved",IF(OR(L6="Fail – Missing FOS",N6="Fail"),"Escalate","Needs Correction"))</f>
        <v/>
      </c>
      <c r="U6" s="16">
        <f>IFERROR(IF(G6&lt;&gt;"Pass","Insufficient learning objectives; ","")&amp;IF(AND(J6="Fail",D6="Group"),"Missing attendance checks; ","")&amp;IF(L6&lt;&gt;"Pass","Missing field of study; ","")&amp;IF(N6&lt;&gt;"Pass","Invalid program level; ","")&amp;IF(AND(P6="Fail",D6="Self-study"),"Insufficient review questions; ",""),"Check data")</f>
        <v/>
      </c>
    </row>
    <row r="7">
      <c r="A7" s="16">
        <f>Requests!A7</f>
        <v/>
      </c>
      <c r="B7" s="16">
        <f>Requests!B7</f>
        <v/>
      </c>
      <c r="C7" s="16">
        <f>Requests!F7</f>
        <v/>
      </c>
      <c r="D7" s="16">
        <f>Requests!E7</f>
        <v/>
      </c>
      <c r="E7" s="16">
        <f>Requests!I7</f>
        <v/>
      </c>
      <c r="F7" s="16">
        <f>ROUNDUP(C7/50*Rules!$C$5,0)</f>
        <v/>
      </c>
      <c r="G7" s="16">
        <f>IF(E7&gt;=F7,"Pass","Fail")</f>
        <v/>
      </c>
      <c r="H7" s="16">
        <f>Requests!J7</f>
        <v/>
      </c>
      <c r="I7" s="16">
        <f>IF(D7="Group",ROUNDUP(C7/50*Rules!$C$9,0),0)</f>
        <v/>
      </c>
      <c r="J7" s="16">
        <f>IF(D7="Self-study","N/A",IF(H7&gt;=I7,"Pass","Fail"))</f>
        <v/>
      </c>
      <c r="K7" s="16">
        <f>Requests!G7</f>
        <v/>
      </c>
      <c r="L7" s="16">
        <f>IF(K7&lt;&gt;"","Pass","Fail – Missing FOS")</f>
        <v/>
      </c>
      <c r="M7" s="16">
        <f>Requests!H7</f>
        <v/>
      </c>
      <c r="N7" s="16">
        <f>IF(OR(M7="Basic",M7="Intermediate",M7="Advanced"),"Pass","Fail")</f>
        <v/>
      </c>
      <c r="O7" s="16">
        <f>Requests!K7</f>
        <v/>
      </c>
      <c r="P7" s="16">
        <f>IF(D7="Self-study",IF(O7&gt;=ROUNDUP(Q7*Rules!$C$12,0),"Pass","Fail"),"N/A")</f>
        <v/>
      </c>
      <c r="Q7" s="17">
        <f>IF(C7&lt;25,0,FLOOR(C7/50,0.5))</f>
        <v/>
      </c>
      <c r="R7" s="17">
        <f>IF(C7&lt;50,0,ROUNDDOWN(C7/50*5,0)/5)</f>
        <v/>
      </c>
      <c r="S7" s="16">
        <f>IF(AND(Requests!O7&lt;&gt;"Approved",Requests!M7&lt;TODAY()),"Overdue",IF(Requests!M7-TODAY()&lt;=Rules!$C$26,"Due Soon","On Track"))</f>
        <v/>
      </c>
      <c r="T7" s="16">
        <f>IF(AND(G7="Pass",J7&lt;&gt;"Fail",L7="Pass",N7="Pass",P7&lt;&gt;"Fail"),"Approved",IF(OR(L7="Fail – Missing FOS",N7="Fail"),"Escalate","Needs Correction"))</f>
        <v/>
      </c>
      <c r="U7" s="16">
        <f>IFERROR(IF(G7&lt;&gt;"Pass","Insufficient learning objectives; ","")&amp;IF(AND(J7="Fail",D7="Group"),"Missing attendance checks; ","")&amp;IF(L7&lt;&gt;"Pass","Missing field of study; ","")&amp;IF(N7&lt;&gt;"Pass","Invalid program level; ","")&amp;IF(AND(P7="Fail",D7="Self-study"),"Insufficient review questions; ",""),"Check data")</f>
        <v/>
      </c>
    </row>
    <row r="8">
      <c r="A8" s="16">
        <f>Requests!A8</f>
        <v/>
      </c>
      <c r="B8" s="16">
        <f>Requests!B8</f>
        <v/>
      </c>
      <c r="C8" s="16">
        <f>Requests!F8</f>
        <v/>
      </c>
      <c r="D8" s="16">
        <f>Requests!E8</f>
        <v/>
      </c>
      <c r="E8" s="16">
        <f>Requests!I8</f>
        <v/>
      </c>
      <c r="F8" s="16">
        <f>ROUNDUP(C8/50*Rules!$C$5,0)</f>
        <v/>
      </c>
      <c r="G8" s="16">
        <f>IF(E8&gt;=F8,"Pass","Fail")</f>
        <v/>
      </c>
      <c r="H8" s="16">
        <f>Requests!J8</f>
        <v/>
      </c>
      <c r="I8" s="16">
        <f>IF(D8="Group",ROUNDUP(C8/50*Rules!$C$9,0),0)</f>
        <v/>
      </c>
      <c r="J8" s="16">
        <f>IF(D8="Self-study","N/A",IF(H8&gt;=I8,"Pass","Fail"))</f>
        <v/>
      </c>
      <c r="K8" s="16">
        <f>Requests!G8</f>
        <v/>
      </c>
      <c r="L8" s="16">
        <f>IF(K8&lt;&gt;"","Pass","Fail – Missing FOS")</f>
        <v/>
      </c>
      <c r="M8" s="16">
        <f>Requests!H8</f>
        <v/>
      </c>
      <c r="N8" s="16">
        <f>IF(OR(M8="Basic",M8="Intermediate",M8="Advanced"),"Pass","Fail")</f>
        <v/>
      </c>
      <c r="O8" s="16">
        <f>Requests!K8</f>
        <v/>
      </c>
      <c r="P8" s="16">
        <f>IF(D8="Self-study",IF(O8&gt;=ROUNDUP(Q8*Rules!$C$12,0),"Pass","Fail"),"N/A")</f>
        <v/>
      </c>
      <c r="Q8" s="17">
        <f>IF(C8&lt;25,0,FLOOR(C8/50,0.5))</f>
        <v/>
      </c>
      <c r="R8" s="17">
        <f>IF(C8&lt;50,0,ROUNDDOWN(C8/50*5,0)/5)</f>
        <v/>
      </c>
      <c r="S8" s="16">
        <f>IF(AND(Requests!O8&lt;&gt;"Approved",Requests!M8&lt;TODAY()),"Overdue",IF(Requests!M8-TODAY()&lt;=Rules!$C$26,"Due Soon","On Track"))</f>
        <v/>
      </c>
      <c r="T8" s="16">
        <f>IF(AND(G8="Pass",J8&lt;&gt;"Fail",L8="Pass",N8="Pass",P8&lt;&gt;"Fail"),"Approved",IF(OR(L8="Fail – Missing FOS",N8="Fail"),"Escalate","Needs Correction"))</f>
        <v/>
      </c>
      <c r="U8" s="16">
        <f>IFERROR(IF(G8&lt;&gt;"Pass","Insufficient learning objectives; ","")&amp;IF(AND(J8="Fail",D8="Group"),"Missing attendance checks; ","")&amp;IF(L8&lt;&gt;"Pass","Missing field of study; ","")&amp;IF(N8&lt;&gt;"Pass","Invalid program level; ","")&amp;IF(AND(P8="Fail",D8="Self-study"),"Insufficient review questions; ",""),"Check data")</f>
        <v/>
      </c>
    </row>
    <row r="9">
      <c r="A9" s="16">
        <f>Requests!A9</f>
        <v/>
      </c>
      <c r="B9" s="16">
        <f>Requests!B9</f>
        <v/>
      </c>
      <c r="C9" s="16">
        <f>Requests!F9</f>
        <v/>
      </c>
      <c r="D9" s="16">
        <f>Requests!E9</f>
        <v/>
      </c>
      <c r="E9" s="16">
        <f>Requests!I9</f>
        <v/>
      </c>
      <c r="F9" s="16">
        <f>ROUNDUP(C9/50*Rules!$C$5,0)</f>
        <v/>
      </c>
      <c r="G9" s="16">
        <f>IF(E9&gt;=F9,"Pass","Fail")</f>
        <v/>
      </c>
      <c r="H9" s="16">
        <f>Requests!J9</f>
        <v/>
      </c>
      <c r="I9" s="16">
        <f>IF(D9="Group",ROUNDUP(C9/50*Rules!$C$9,0),0)</f>
        <v/>
      </c>
      <c r="J9" s="16">
        <f>IF(D9="Self-study","N/A",IF(H9&gt;=I9,"Pass","Fail"))</f>
        <v/>
      </c>
      <c r="K9" s="16">
        <f>Requests!G9</f>
        <v/>
      </c>
      <c r="L9" s="16">
        <f>IF(K9&lt;&gt;"","Pass","Fail – Missing FOS")</f>
        <v/>
      </c>
      <c r="M9" s="16">
        <f>Requests!H9</f>
        <v/>
      </c>
      <c r="N9" s="16">
        <f>IF(OR(M9="Basic",M9="Intermediate",M9="Advanced"),"Pass","Fail")</f>
        <v/>
      </c>
      <c r="O9" s="16">
        <f>Requests!K9</f>
        <v/>
      </c>
      <c r="P9" s="16">
        <f>IF(D9="Self-study",IF(O9&gt;=ROUNDUP(Q9*Rules!$C$12,0),"Pass","Fail"),"N/A")</f>
        <v/>
      </c>
      <c r="Q9" s="17">
        <f>IF(C9&lt;25,0,FLOOR(C9/50,0.5))</f>
        <v/>
      </c>
      <c r="R9" s="17">
        <f>IF(C9&lt;50,0,ROUNDDOWN(C9/50*5,0)/5)</f>
        <v/>
      </c>
      <c r="S9" s="16">
        <f>IF(AND(Requests!O9&lt;&gt;"Approved",Requests!M9&lt;TODAY()),"Overdue",IF(Requests!M9-TODAY()&lt;=Rules!$C$26,"Due Soon","On Track"))</f>
        <v/>
      </c>
      <c r="T9" s="16">
        <f>IF(AND(G9="Pass",J9&lt;&gt;"Fail",L9="Pass",N9="Pass",P9&lt;&gt;"Fail"),"Approved",IF(OR(L9="Fail – Missing FOS",N9="Fail"),"Escalate","Needs Correction"))</f>
        <v/>
      </c>
      <c r="U9" s="16">
        <f>IFERROR(IF(G9&lt;&gt;"Pass","Insufficient learning objectives; ","")&amp;IF(AND(J9="Fail",D9="Group"),"Missing attendance checks; ","")&amp;IF(L9&lt;&gt;"Pass","Missing field of study; ","")&amp;IF(N9&lt;&gt;"Pass","Invalid program level; ","")&amp;IF(AND(P9="Fail",D9="Self-study"),"Insufficient review questions; ",""),"Check data")</f>
        <v/>
      </c>
    </row>
    <row r="10">
      <c r="A10" s="16">
        <f>Requests!A10</f>
        <v/>
      </c>
      <c r="B10" s="16">
        <f>Requests!B10</f>
        <v/>
      </c>
      <c r="C10" s="16">
        <f>Requests!F10</f>
        <v/>
      </c>
      <c r="D10" s="16">
        <f>Requests!E10</f>
        <v/>
      </c>
      <c r="E10" s="16">
        <f>Requests!I10</f>
        <v/>
      </c>
      <c r="F10" s="16">
        <f>ROUNDUP(C10/50*Rules!$C$5,0)</f>
        <v/>
      </c>
      <c r="G10" s="16">
        <f>IF(E10&gt;=F10,"Pass","Fail")</f>
        <v/>
      </c>
      <c r="H10" s="16">
        <f>Requests!J10</f>
        <v/>
      </c>
      <c r="I10" s="16">
        <f>IF(D10="Group",ROUNDUP(C10/50*Rules!$C$9,0),0)</f>
        <v/>
      </c>
      <c r="J10" s="16">
        <f>IF(D10="Self-study","N/A",IF(H10&gt;=I10,"Pass","Fail"))</f>
        <v/>
      </c>
      <c r="K10" s="16">
        <f>Requests!G10</f>
        <v/>
      </c>
      <c r="L10" s="16">
        <f>IF(K10&lt;&gt;"","Pass","Fail – Missing FOS")</f>
        <v/>
      </c>
      <c r="M10" s="16">
        <f>Requests!H10</f>
        <v/>
      </c>
      <c r="N10" s="16">
        <f>IF(OR(M10="Basic",M10="Intermediate",M10="Advanced"),"Pass","Fail")</f>
        <v/>
      </c>
      <c r="O10" s="16">
        <f>Requests!K10</f>
        <v/>
      </c>
      <c r="P10" s="16">
        <f>IF(D10="Self-study",IF(O10&gt;=ROUNDUP(Q10*Rules!$C$12,0),"Pass","Fail"),"N/A")</f>
        <v/>
      </c>
      <c r="Q10" s="17">
        <f>IF(C10&lt;25,0,FLOOR(C10/50,0.5))</f>
        <v/>
      </c>
      <c r="R10" s="17">
        <f>IF(C10&lt;50,0,ROUNDDOWN(C10/50*5,0)/5)</f>
        <v/>
      </c>
      <c r="S10" s="16">
        <f>IF(AND(Requests!O10&lt;&gt;"Approved",Requests!M10&lt;TODAY()),"Overdue",IF(Requests!M10-TODAY()&lt;=Rules!$C$26,"Due Soon","On Track"))</f>
        <v/>
      </c>
      <c r="T10" s="16">
        <f>IF(AND(G10="Pass",J10&lt;&gt;"Fail",L10="Pass",N10="Pass",P10&lt;&gt;"Fail"),"Approved",IF(OR(L10="Fail – Missing FOS",N10="Fail"),"Escalate","Needs Correction"))</f>
        <v/>
      </c>
      <c r="U10" s="16">
        <f>IFERROR(IF(G10&lt;&gt;"Pass","Insufficient learning objectives; ","")&amp;IF(AND(J10="Fail",D10="Group"),"Missing attendance checks; ","")&amp;IF(L10&lt;&gt;"Pass","Missing field of study; ","")&amp;IF(N10&lt;&gt;"Pass","Invalid program level; ","")&amp;IF(AND(P10="Fail",D10="Self-study"),"Insufficient review questions; ",""),"Check data")</f>
        <v/>
      </c>
    </row>
    <row r="11">
      <c r="A11" s="16">
        <f>Requests!A11</f>
        <v/>
      </c>
      <c r="B11" s="16">
        <f>Requests!B11</f>
        <v/>
      </c>
      <c r="C11" s="16">
        <f>Requests!F11</f>
        <v/>
      </c>
      <c r="D11" s="16">
        <f>Requests!E11</f>
        <v/>
      </c>
      <c r="E11" s="16">
        <f>Requests!I11</f>
        <v/>
      </c>
      <c r="F11" s="16">
        <f>ROUNDUP(C11/50*Rules!$C$5,0)</f>
        <v/>
      </c>
      <c r="G11" s="16">
        <f>IF(E11&gt;=F11,"Pass","Fail")</f>
        <v/>
      </c>
      <c r="H11" s="16">
        <f>Requests!J11</f>
        <v/>
      </c>
      <c r="I11" s="16">
        <f>IF(D11="Group",ROUNDUP(C11/50*Rules!$C$9,0),0)</f>
        <v/>
      </c>
      <c r="J11" s="16">
        <f>IF(D11="Self-study","N/A",IF(H11&gt;=I11,"Pass","Fail"))</f>
        <v/>
      </c>
      <c r="K11" s="16">
        <f>Requests!G11</f>
        <v/>
      </c>
      <c r="L11" s="16">
        <f>IF(K11&lt;&gt;"","Pass","Fail – Missing FOS")</f>
        <v/>
      </c>
      <c r="M11" s="16">
        <f>Requests!H11</f>
        <v/>
      </c>
      <c r="N11" s="16">
        <f>IF(OR(M11="Basic",M11="Intermediate",M11="Advanced"),"Pass","Fail")</f>
        <v/>
      </c>
      <c r="O11" s="16">
        <f>Requests!K11</f>
        <v/>
      </c>
      <c r="P11" s="16">
        <f>IF(D11="Self-study",IF(O11&gt;=ROUNDUP(Q11*Rules!$C$12,0),"Pass","Fail"),"N/A")</f>
        <v/>
      </c>
      <c r="Q11" s="17">
        <f>IF(C11&lt;25,0,FLOOR(C11/50,0.5))</f>
        <v/>
      </c>
      <c r="R11" s="17">
        <f>IF(C11&lt;50,0,ROUNDDOWN(C11/50*5,0)/5)</f>
        <v/>
      </c>
      <c r="S11" s="16">
        <f>IF(AND(Requests!O11&lt;&gt;"Approved",Requests!M11&lt;TODAY()),"Overdue",IF(Requests!M11-TODAY()&lt;=Rules!$C$26,"Due Soon","On Track"))</f>
        <v/>
      </c>
      <c r="T11" s="16">
        <f>IF(AND(G11="Pass",J11&lt;&gt;"Fail",L11="Pass",N11="Pass",P11&lt;&gt;"Fail"),"Approved",IF(OR(L11="Fail – Missing FOS",N11="Fail"),"Escalate","Needs Correction"))</f>
        <v/>
      </c>
      <c r="U11" s="16">
        <f>IFERROR(IF(G11&lt;&gt;"Pass","Insufficient learning objectives; ","")&amp;IF(AND(J11="Fail",D11="Group"),"Missing attendance checks; ","")&amp;IF(L11&lt;&gt;"Pass","Missing field of study; ","")&amp;IF(N11&lt;&gt;"Pass","Invalid program level; ","")&amp;IF(AND(P11="Fail",D11="Self-study"),"Insufficient review questions; ",""),"Check data")</f>
        <v/>
      </c>
    </row>
    <row r="12">
      <c r="A12" s="16">
        <f>Requests!A12</f>
        <v/>
      </c>
      <c r="B12" s="16">
        <f>Requests!B12</f>
        <v/>
      </c>
      <c r="C12" s="16">
        <f>Requests!F12</f>
        <v/>
      </c>
      <c r="D12" s="16">
        <f>Requests!E12</f>
        <v/>
      </c>
      <c r="E12" s="16">
        <f>Requests!I12</f>
        <v/>
      </c>
      <c r="F12" s="16">
        <f>ROUNDUP(C12/50*Rules!$C$5,0)</f>
        <v/>
      </c>
      <c r="G12" s="16">
        <f>IF(E12&gt;=F12,"Pass","Fail")</f>
        <v/>
      </c>
      <c r="H12" s="16">
        <f>Requests!J12</f>
        <v/>
      </c>
      <c r="I12" s="16">
        <f>IF(D12="Group",ROUNDUP(C12/50*Rules!$C$9,0),0)</f>
        <v/>
      </c>
      <c r="J12" s="16">
        <f>IF(D12="Self-study","N/A",IF(H12&gt;=I12,"Pass","Fail"))</f>
        <v/>
      </c>
      <c r="K12" s="16">
        <f>Requests!G12</f>
        <v/>
      </c>
      <c r="L12" s="16">
        <f>IF(K12&lt;&gt;"","Pass","Fail – Missing FOS")</f>
        <v/>
      </c>
      <c r="M12" s="16">
        <f>Requests!H12</f>
        <v/>
      </c>
      <c r="N12" s="16">
        <f>IF(OR(M12="Basic",M12="Intermediate",M12="Advanced"),"Pass","Fail")</f>
        <v/>
      </c>
      <c r="O12" s="16">
        <f>Requests!K12</f>
        <v/>
      </c>
      <c r="P12" s="16">
        <f>IF(D12="Self-study",IF(O12&gt;=ROUNDUP(Q12*Rules!$C$12,0),"Pass","Fail"),"N/A")</f>
        <v/>
      </c>
      <c r="Q12" s="17">
        <f>IF(C12&lt;25,0,FLOOR(C12/50,0.5))</f>
        <v/>
      </c>
      <c r="R12" s="17">
        <f>IF(C12&lt;50,0,ROUNDDOWN(C12/50*5,0)/5)</f>
        <v/>
      </c>
      <c r="S12" s="16">
        <f>IF(AND(Requests!O12&lt;&gt;"Approved",Requests!M12&lt;TODAY()),"Overdue",IF(Requests!M12-TODAY()&lt;=Rules!$C$26,"Due Soon","On Track"))</f>
        <v/>
      </c>
      <c r="T12" s="16">
        <f>IF(AND(G12="Pass",J12&lt;&gt;"Fail",L12="Pass",N12="Pass",P12&lt;&gt;"Fail"),"Approved",IF(OR(L12="Fail – Missing FOS",N12="Fail"),"Escalate","Needs Correction"))</f>
        <v/>
      </c>
      <c r="U12" s="16">
        <f>IFERROR(IF(G12&lt;&gt;"Pass","Insufficient learning objectives; ","")&amp;IF(AND(J12="Fail",D12="Group"),"Missing attendance checks; ","")&amp;IF(L12&lt;&gt;"Pass","Missing field of study; ","")&amp;IF(N12&lt;&gt;"Pass","Invalid program level; ","")&amp;IF(AND(P12="Fail",D12="Self-study"),"Insufficient review questions; ",""),"Check data")</f>
        <v/>
      </c>
    </row>
    <row r="13">
      <c r="A13" s="16">
        <f>Requests!A13</f>
        <v/>
      </c>
      <c r="B13" s="16">
        <f>Requests!B13</f>
        <v/>
      </c>
      <c r="C13" s="16">
        <f>Requests!F13</f>
        <v/>
      </c>
      <c r="D13" s="16">
        <f>Requests!E13</f>
        <v/>
      </c>
      <c r="E13" s="16">
        <f>Requests!I13</f>
        <v/>
      </c>
      <c r="F13" s="16">
        <f>ROUNDUP(C13/50*Rules!$C$5,0)</f>
        <v/>
      </c>
      <c r="G13" s="16">
        <f>IF(E13&gt;=F13,"Pass","Fail")</f>
        <v/>
      </c>
      <c r="H13" s="16">
        <f>Requests!J13</f>
        <v/>
      </c>
      <c r="I13" s="16">
        <f>IF(D13="Group",ROUNDUP(C13/50*Rules!$C$9,0),0)</f>
        <v/>
      </c>
      <c r="J13" s="16">
        <f>IF(D13="Self-study","N/A",IF(H13&gt;=I13,"Pass","Fail"))</f>
        <v/>
      </c>
      <c r="K13" s="16">
        <f>Requests!G13</f>
        <v/>
      </c>
      <c r="L13" s="16">
        <f>IF(K13&lt;&gt;"","Pass","Fail – Missing FOS")</f>
        <v/>
      </c>
      <c r="M13" s="16">
        <f>Requests!H13</f>
        <v/>
      </c>
      <c r="N13" s="16">
        <f>IF(OR(M13="Basic",M13="Intermediate",M13="Advanced"),"Pass","Fail")</f>
        <v/>
      </c>
      <c r="O13" s="16">
        <f>Requests!K13</f>
        <v/>
      </c>
      <c r="P13" s="16">
        <f>IF(D13="Self-study",IF(O13&gt;=ROUNDUP(Q13*Rules!$C$12,0),"Pass","Fail"),"N/A")</f>
        <v/>
      </c>
      <c r="Q13" s="17">
        <f>IF(C13&lt;25,0,FLOOR(C13/50,0.5))</f>
        <v/>
      </c>
      <c r="R13" s="17">
        <f>IF(C13&lt;50,0,ROUNDDOWN(C13/50*5,0)/5)</f>
        <v/>
      </c>
      <c r="S13" s="16">
        <f>IF(AND(Requests!O13&lt;&gt;"Approved",Requests!M13&lt;TODAY()),"Overdue",IF(Requests!M13-TODAY()&lt;=Rules!$C$26,"Due Soon","On Track"))</f>
        <v/>
      </c>
      <c r="T13" s="16">
        <f>IF(AND(G13="Pass",J13&lt;&gt;"Fail",L13="Pass",N13="Pass",P13&lt;&gt;"Fail"),"Approved",IF(OR(L13="Fail – Missing FOS",N13="Fail"),"Escalate","Needs Correction"))</f>
        <v/>
      </c>
      <c r="U13" s="16">
        <f>IFERROR(IF(G13&lt;&gt;"Pass","Insufficient learning objectives; ","")&amp;IF(AND(J13="Fail",D13="Group"),"Missing attendance checks; ","")&amp;IF(L13&lt;&gt;"Pass","Missing field of study; ","")&amp;IF(N13&lt;&gt;"Pass","Invalid program level; ","")&amp;IF(AND(P13="Fail",D13="Self-study"),"Insufficient review questions; ",""),"Check data")</f>
        <v/>
      </c>
    </row>
    <row r="14">
      <c r="A14" s="16">
        <f>Requests!A14</f>
        <v/>
      </c>
      <c r="B14" s="16">
        <f>Requests!B14</f>
        <v/>
      </c>
      <c r="C14" s="16">
        <f>Requests!F14</f>
        <v/>
      </c>
      <c r="D14" s="16">
        <f>Requests!E14</f>
        <v/>
      </c>
      <c r="E14" s="16">
        <f>Requests!I14</f>
        <v/>
      </c>
      <c r="F14" s="16">
        <f>ROUNDUP(C14/50*Rules!$C$5,0)</f>
        <v/>
      </c>
      <c r="G14" s="16">
        <f>IF(E14&gt;=F14,"Pass","Fail")</f>
        <v/>
      </c>
      <c r="H14" s="16">
        <f>Requests!J14</f>
        <v/>
      </c>
      <c r="I14" s="16">
        <f>IF(D14="Group",ROUNDUP(C14/50*Rules!$C$9,0),0)</f>
        <v/>
      </c>
      <c r="J14" s="16">
        <f>IF(D14="Self-study","N/A",IF(H14&gt;=I14,"Pass","Fail"))</f>
        <v/>
      </c>
      <c r="K14" s="16">
        <f>Requests!G14</f>
        <v/>
      </c>
      <c r="L14" s="16">
        <f>IF(K14&lt;&gt;"","Pass","Fail – Missing FOS")</f>
        <v/>
      </c>
      <c r="M14" s="16">
        <f>Requests!H14</f>
        <v/>
      </c>
      <c r="N14" s="16">
        <f>IF(OR(M14="Basic",M14="Intermediate",M14="Advanced"),"Pass","Fail")</f>
        <v/>
      </c>
      <c r="O14" s="16">
        <f>Requests!K14</f>
        <v/>
      </c>
      <c r="P14" s="16">
        <f>IF(D14="Self-study",IF(O14&gt;=ROUNDUP(Q14*Rules!$C$12,0),"Pass","Fail"),"N/A")</f>
        <v/>
      </c>
      <c r="Q14" s="17">
        <f>IF(C14&lt;25,0,FLOOR(C14/50,0.5))</f>
        <v/>
      </c>
      <c r="R14" s="17">
        <f>IF(C14&lt;50,0,ROUNDDOWN(C14/50*5,0)/5)</f>
        <v/>
      </c>
      <c r="S14" s="16">
        <f>IF(AND(Requests!O14&lt;&gt;"Approved",Requests!M14&lt;TODAY()),"Overdue",IF(Requests!M14-TODAY()&lt;=Rules!$C$26,"Due Soon","On Track"))</f>
        <v/>
      </c>
      <c r="T14" s="16">
        <f>IF(AND(G14="Pass",J14&lt;&gt;"Fail",L14="Pass",N14="Pass",P14&lt;&gt;"Fail"),"Approved",IF(OR(L14="Fail – Missing FOS",N14="Fail"),"Escalate","Needs Correction"))</f>
        <v/>
      </c>
      <c r="U14" s="16">
        <f>IFERROR(IF(G14&lt;&gt;"Pass","Insufficient learning objectives; ","")&amp;IF(AND(J14="Fail",D14="Group"),"Missing attendance checks; ","")&amp;IF(L14&lt;&gt;"Pass","Missing field of study; ","")&amp;IF(N14&lt;&gt;"Pass","Invalid program level; ","")&amp;IF(AND(P14="Fail",D14="Self-study"),"Insufficient review questions; ",""),"Check data")</f>
        <v/>
      </c>
    </row>
    <row r="15">
      <c r="A15" s="16">
        <f>Requests!A15</f>
        <v/>
      </c>
      <c r="B15" s="16">
        <f>Requests!B15</f>
        <v/>
      </c>
      <c r="C15" s="16">
        <f>Requests!F15</f>
        <v/>
      </c>
      <c r="D15" s="16">
        <f>Requests!E15</f>
        <v/>
      </c>
      <c r="E15" s="16">
        <f>Requests!I15</f>
        <v/>
      </c>
      <c r="F15" s="16">
        <f>ROUNDUP(C15/50*Rules!$C$5,0)</f>
        <v/>
      </c>
      <c r="G15" s="16">
        <f>IF(E15&gt;=F15,"Pass","Fail")</f>
        <v/>
      </c>
      <c r="H15" s="16">
        <f>Requests!J15</f>
        <v/>
      </c>
      <c r="I15" s="16">
        <f>IF(D15="Group",ROUNDUP(C15/50*Rules!$C$9,0),0)</f>
        <v/>
      </c>
      <c r="J15" s="16">
        <f>IF(D15="Self-study","N/A",IF(H15&gt;=I15,"Pass","Fail"))</f>
        <v/>
      </c>
      <c r="K15" s="16">
        <f>Requests!G15</f>
        <v/>
      </c>
      <c r="L15" s="16">
        <f>IF(K15&lt;&gt;"","Pass","Fail – Missing FOS")</f>
        <v/>
      </c>
      <c r="M15" s="16">
        <f>Requests!H15</f>
        <v/>
      </c>
      <c r="N15" s="16">
        <f>IF(OR(M15="Basic",M15="Intermediate",M15="Advanced"),"Pass","Fail")</f>
        <v/>
      </c>
      <c r="O15" s="16">
        <f>Requests!K15</f>
        <v/>
      </c>
      <c r="P15" s="16">
        <f>IF(D15="Self-study",IF(O15&gt;=ROUNDUP(Q15*Rules!$C$12,0),"Pass","Fail"),"N/A")</f>
        <v/>
      </c>
      <c r="Q15" s="17">
        <f>IF(C15&lt;25,0,FLOOR(C15/50,0.5))</f>
        <v/>
      </c>
      <c r="R15" s="17">
        <f>IF(C15&lt;50,0,ROUNDDOWN(C15/50*5,0)/5)</f>
        <v/>
      </c>
      <c r="S15" s="16">
        <f>IF(AND(Requests!O15&lt;&gt;"Approved",Requests!M15&lt;TODAY()),"Overdue",IF(Requests!M15-TODAY()&lt;=Rules!$C$26,"Due Soon","On Track"))</f>
        <v/>
      </c>
      <c r="T15" s="16">
        <f>IF(AND(G15="Pass",J15&lt;&gt;"Fail",L15="Pass",N15="Pass",P15&lt;&gt;"Fail"),"Approved",IF(OR(L15="Fail – Missing FOS",N15="Fail"),"Escalate","Needs Correction"))</f>
        <v/>
      </c>
      <c r="U15" s="16">
        <f>IFERROR(IF(G15&lt;&gt;"Pass","Insufficient learning objectives; ","")&amp;IF(AND(J15="Fail",D15="Group"),"Missing attendance checks; ","")&amp;IF(L15&lt;&gt;"Pass","Missing field of study; ","")&amp;IF(N15&lt;&gt;"Pass","Invalid program level; ","")&amp;IF(AND(P15="Fail",D15="Self-study"),"Insufficient review questions; ",""),"Check data")</f>
        <v/>
      </c>
    </row>
    <row r="16">
      <c r="A16" s="16">
        <f>Requests!A16</f>
        <v/>
      </c>
      <c r="B16" s="16">
        <f>Requests!B16</f>
        <v/>
      </c>
      <c r="C16" s="16">
        <f>Requests!F16</f>
        <v/>
      </c>
      <c r="D16" s="16">
        <f>Requests!E16</f>
        <v/>
      </c>
      <c r="E16" s="16">
        <f>Requests!I16</f>
        <v/>
      </c>
      <c r="F16" s="16">
        <f>ROUNDUP(C16/50*Rules!$C$5,0)</f>
        <v/>
      </c>
      <c r="G16" s="16">
        <f>IF(E16&gt;=F16,"Pass","Fail")</f>
        <v/>
      </c>
      <c r="H16" s="16">
        <f>Requests!J16</f>
        <v/>
      </c>
      <c r="I16" s="16">
        <f>IF(D16="Group",ROUNDUP(C16/50*Rules!$C$9,0),0)</f>
        <v/>
      </c>
      <c r="J16" s="16">
        <f>IF(D16="Self-study","N/A",IF(H16&gt;=I16,"Pass","Fail"))</f>
        <v/>
      </c>
      <c r="K16" s="16">
        <f>Requests!G16</f>
        <v/>
      </c>
      <c r="L16" s="16">
        <f>IF(K16&lt;&gt;"","Pass","Fail – Missing FOS")</f>
        <v/>
      </c>
      <c r="M16" s="16">
        <f>Requests!H16</f>
        <v/>
      </c>
      <c r="N16" s="16">
        <f>IF(OR(M16="Basic",M16="Intermediate",M16="Advanced"),"Pass","Fail")</f>
        <v/>
      </c>
      <c r="O16" s="16">
        <f>Requests!K16</f>
        <v/>
      </c>
      <c r="P16" s="16">
        <f>IF(D16="Self-study",IF(O16&gt;=ROUNDUP(Q16*Rules!$C$12,0),"Pass","Fail"),"N/A")</f>
        <v/>
      </c>
      <c r="Q16" s="17">
        <f>IF(C16&lt;25,0,FLOOR(C16/50,0.5))</f>
        <v/>
      </c>
      <c r="R16" s="17">
        <f>IF(C16&lt;50,0,ROUNDDOWN(C16/50*5,0)/5)</f>
        <v/>
      </c>
      <c r="S16" s="16">
        <f>IF(AND(Requests!O16&lt;&gt;"Approved",Requests!M16&lt;TODAY()),"Overdue",IF(Requests!M16-TODAY()&lt;=Rules!$C$26,"Due Soon","On Track"))</f>
        <v/>
      </c>
      <c r="T16" s="16">
        <f>IF(AND(G16="Pass",J16&lt;&gt;"Fail",L16="Pass",N16="Pass",P16&lt;&gt;"Fail"),"Approved",IF(OR(L16="Fail – Missing FOS",N16="Fail"),"Escalate","Needs Correction"))</f>
        <v/>
      </c>
      <c r="U16" s="16">
        <f>IFERROR(IF(G16&lt;&gt;"Pass","Insufficient learning objectives; ","")&amp;IF(AND(J16="Fail",D16="Group"),"Missing attendance checks; ","")&amp;IF(L16&lt;&gt;"Pass","Missing field of study; ","")&amp;IF(N16&lt;&gt;"Pass","Invalid program level; ","")&amp;IF(AND(P16="Fail",D16="Self-study"),"Insufficient review questions; ",""),"Check data")</f>
        <v/>
      </c>
    </row>
    <row r="17">
      <c r="A17" s="16">
        <f>Requests!A17</f>
        <v/>
      </c>
      <c r="B17" s="16">
        <f>Requests!B17</f>
        <v/>
      </c>
      <c r="C17" s="16">
        <f>Requests!F17</f>
        <v/>
      </c>
      <c r="D17" s="16">
        <f>Requests!E17</f>
        <v/>
      </c>
      <c r="E17" s="16">
        <f>Requests!I17</f>
        <v/>
      </c>
      <c r="F17" s="16">
        <f>ROUNDUP(C17/50*Rules!$C$5,0)</f>
        <v/>
      </c>
      <c r="G17" s="16">
        <f>IF(E17&gt;=F17,"Pass","Fail")</f>
        <v/>
      </c>
      <c r="H17" s="16">
        <f>Requests!J17</f>
        <v/>
      </c>
      <c r="I17" s="16">
        <f>IF(D17="Group",ROUNDUP(C17/50*Rules!$C$9,0),0)</f>
        <v/>
      </c>
      <c r="J17" s="16">
        <f>IF(D17="Self-study","N/A",IF(H17&gt;=I17,"Pass","Fail"))</f>
        <v/>
      </c>
      <c r="K17" s="16">
        <f>Requests!G17</f>
        <v/>
      </c>
      <c r="L17" s="16">
        <f>IF(K17&lt;&gt;"","Pass","Fail – Missing FOS")</f>
        <v/>
      </c>
      <c r="M17" s="16">
        <f>Requests!H17</f>
        <v/>
      </c>
      <c r="N17" s="16">
        <f>IF(OR(M17="Basic",M17="Intermediate",M17="Advanced"),"Pass","Fail")</f>
        <v/>
      </c>
      <c r="O17" s="16">
        <f>Requests!K17</f>
        <v/>
      </c>
      <c r="P17" s="16">
        <f>IF(D17="Self-study",IF(O17&gt;=ROUNDUP(Q17*Rules!$C$12,0),"Pass","Fail"),"N/A")</f>
        <v/>
      </c>
      <c r="Q17" s="17">
        <f>IF(C17&lt;25,0,FLOOR(C17/50,0.5))</f>
        <v/>
      </c>
      <c r="R17" s="17">
        <f>IF(C17&lt;50,0,ROUNDDOWN(C17/50*5,0)/5)</f>
        <v/>
      </c>
      <c r="S17" s="16">
        <f>IF(AND(Requests!O17&lt;&gt;"Approved",Requests!M17&lt;TODAY()),"Overdue",IF(Requests!M17-TODAY()&lt;=Rules!$C$26,"Due Soon","On Track"))</f>
        <v/>
      </c>
      <c r="T17" s="16">
        <f>IF(AND(G17="Pass",J17&lt;&gt;"Fail",L17="Pass",N17="Pass",P17&lt;&gt;"Fail"),"Approved",IF(OR(L17="Fail – Missing FOS",N17="Fail"),"Escalate","Needs Correction"))</f>
        <v/>
      </c>
      <c r="U17" s="16">
        <f>IFERROR(IF(G17&lt;&gt;"Pass","Insufficient learning objectives; ","")&amp;IF(AND(J17="Fail",D17="Group"),"Missing attendance checks; ","")&amp;IF(L17&lt;&gt;"Pass","Missing field of study; ","")&amp;IF(N17&lt;&gt;"Pass","Invalid program level; ","")&amp;IF(AND(P17="Fail",D17="Self-study"),"Insufficient review questions; ",""),"Check data")</f>
        <v/>
      </c>
    </row>
    <row r="18">
      <c r="A18" s="16">
        <f>Requests!A18</f>
        <v/>
      </c>
      <c r="B18" s="16">
        <f>Requests!B18</f>
        <v/>
      </c>
      <c r="C18" s="16">
        <f>Requests!F18</f>
        <v/>
      </c>
      <c r="D18" s="16">
        <f>Requests!E18</f>
        <v/>
      </c>
      <c r="E18" s="16">
        <f>Requests!I18</f>
        <v/>
      </c>
      <c r="F18" s="16">
        <f>ROUNDUP(C18/50*Rules!$C$5,0)</f>
        <v/>
      </c>
      <c r="G18" s="16">
        <f>IF(E18&gt;=F18,"Pass","Fail")</f>
        <v/>
      </c>
      <c r="H18" s="16">
        <f>Requests!J18</f>
        <v/>
      </c>
      <c r="I18" s="16">
        <f>IF(D18="Group",ROUNDUP(C18/50*Rules!$C$9,0),0)</f>
        <v/>
      </c>
      <c r="J18" s="16">
        <f>IF(D18="Self-study","N/A",IF(H18&gt;=I18,"Pass","Fail"))</f>
        <v/>
      </c>
      <c r="K18" s="16">
        <f>Requests!G18</f>
        <v/>
      </c>
      <c r="L18" s="16">
        <f>IF(K18&lt;&gt;"","Pass","Fail – Missing FOS")</f>
        <v/>
      </c>
      <c r="M18" s="16">
        <f>Requests!H18</f>
        <v/>
      </c>
      <c r="N18" s="16">
        <f>IF(OR(M18="Basic",M18="Intermediate",M18="Advanced"),"Pass","Fail")</f>
        <v/>
      </c>
      <c r="O18" s="16">
        <f>Requests!K18</f>
        <v/>
      </c>
      <c r="P18" s="16">
        <f>IF(D18="Self-study",IF(O18&gt;=ROUNDUP(Q18*Rules!$C$12,0),"Pass","Fail"),"N/A")</f>
        <v/>
      </c>
      <c r="Q18" s="17">
        <f>IF(C18&lt;25,0,FLOOR(C18/50,0.5))</f>
        <v/>
      </c>
      <c r="R18" s="17">
        <f>IF(C18&lt;50,0,ROUNDDOWN(C18/50*5,0)/5)</f>
        <v/>
      </c>
      <c r="S18" s="16">
        <f>IF(AND(Requests!O18&lt;&gt;"Approved",Requests!M18&lt;TODAY()),"Overdue",IF(Requests!M18-TODAY()&lt;=Rules!$C$26,"Due Soon","On Track"))</f>
        <v/>
      </c>
      <c r="T18" s="16">
        <f>IF(AND(G18="Pass",J18&lt;&gt;"Fail",L18="Pass",N18="Pass",P18&lt;&gt;"Fail"),"Approved",IF(OR(L18="Fail – Missing FOS",N18="Fail"),"Escalate","Needs Correction"))</f>
        <v/>
      </c>
      <c r="U18" s="16">
        <f>IFERROR(IF(G18&lt;&gt;"Pass","Insufficient learning objectives; ","")&amp;IF(AND(J18="Fail",D18="Group"),"Missing attendance checks; ","")&amp;IF(L18&lt;&gt;"Pass","Missing field of study; ","")&amp;IF(N18&lt;&gt;"Pass","Invalid program level; ","")&amp;IF(AND(P18="Fail",D18="Self-study"),"Insufficient review questions; ",""),"Check data")</f>
        <v/>
      </c>
    </row>
    <row r="19">
      <c r="A19" s="16">
        <f>Requests!A19</f>
        <v/>
      </c>
      <c r="B19" s="16">
        <f>Requests!B19</f>
        <v/>
      </c>
      <c r="C19" s="16">
        <f>Requests!F19</f>
        <v/>
      </c>
      <c r="D19" s="16">
        <f>Requests!E19</f>
        <v/>
      </c>
      <c r="E19" s="16">
        <f>Requests!I19</f>
        <v/>
      </c>
      <c r="F19" s="16">
        <f>ROUNDUP(C19/50*Rules!$C$5,0)</f>
        <v/>
      </c>
      <c r="G19" s="16">
        <f>IF(E19&gt;=F19,"Pass","Fail")</f>
        <v/>
      </c>
      <c r="H19" s="16">
        <f>Requests!J19</f>
        <v/>
      </c>
      <c r="I19" s="16">
        <f>IF(D19="Group",ROUNDUP(C19/50*Rules!$C$9,0),0)</f>
        <v/>
      </c>
      <c r="J19" s="16">
        <f>IF(D19="Self-study","N/A",IF(H19&gt;=I19,"Pass","Fail"))</f>
        <v/>
      </c>
      <c r="K19" s="16">
        <f>Requests!G19</f>
        <v/>
      </c>
      <c r="L19" s="16">
        <f>IF(K19&lt;&gt;"","Pass","Fail – Missing FOS")</f>
        <v/>
      </c>
      <c r="M19" s="16">
        <f>Requests!H19</f>
        <v/>
      </c>
      <c r="N19" s="16">
        <f>IF(OR(M19="Basic",M19="Intermediate",M19="Advanced"),"Pass","Fail")</f>
        <v/>
      </c>
      <c r="O19" s="16">
        <f>Requests!K19</f>
        <v/>
      </c>
      <c r="P19" s="16">
        <f>IF(D19="Self-study",IF(O19&gt;=ROUNDUP(Q19*Rules!$C$12,0),"Pass","Fail"),"N/A")</f>
        <v/>
      </c>
      <c r="Q19" s="17">
        <f>IF(C19&lt;25,0,FLOOR(C19/50,0.5))</f>
        <v/>
      </c>
      <c r="R19" s="17">
        <f>IF(C19&lt;50,0,ROUNDDOWN(C19/50*5,0)/5)</f>
        <v/>
      </c>
      <c r="S19" s="16">
        <f>IF(AND(Requests!O19&lt;&gt;"Approved",Requests!M19&lt;TODAY()),"Overdue",IF(Requests!M19-TODAY()&lt;=Rules!$C$26,"Due Soon","On Track"))</f>
        <v/>
      </c>
      <c r="T19" s="16">
        <f>IF(AND(G19="Pass",J19&lt;&gt;"Fail",L19="Pass",N19="Pass",P19&lt;&gt;"Fail"),"Approved",IF(OR(L19="Fail – Missing FOS",N19="Fail"),"Escalate","Needs Correction"))</f>
        <v/>
      </c>
      <c r="U19" s="16">
        <f>IFERROR(IF(G19&lt;&gt;"Pass","Insufficient learning objectives; ","")&amp;IF(AND(J19="Fail",D19="Group"),"Missing attendance checks; ","")&amp;IF(L19&lt;&gt;"Pass","Missing field of study; ","")&amp;IF(N19&lt;&gt;"Pass","Invalid program level; ","")&amp;IF(AND(P19="Fail",D19="Self-study"),"Insufficient review questions; ",""),"Check data")</f>
        <v/>
      </c>
    </row>
    <row r="20">
      <c r="A20" s="16">
        <f>Requests!A20</f>
        <v/>
      </c>
      <c r="B20" s="16">
        <f>Requests!B20</f>
        <v/>
      </c>
      <c r="C20" s="16">
        <f>Requests!F20</f>
        <v/>
      </c>
      <c r="D20" s="16">
        <f>Requests!E20</f>
        <v/>
      </c>
      <c r="E20" s="16">
        <f>Requests!I20</f>
        <v/>
      </c>
      <c r="F20" s="16">
        <f>ROUNDUP(C20/50*Rules!$C$5,0)</f>
        <v/>
      </c>
      <c r="G20" s="16">
        <f>IF(E20&gt;=F20,"Pass","Fail")</f>
        <v/>
      </c>
      <c r="H20" s="16">
        <f>Requests!J20</f>
        <v/>
      </c>
      <c r="I20" s="16">
        <f>IF(D20="Group",ROUNDUP(C20/50*Rules!$C$9,0),0)</f>
        <v/>
      </c>
      <c r="J20" s="16">
        <f>IF(D20="Self-study","N/A",IF(H20&gt;=I20,"Pass","Fail"))</f>
        <v/>
      </c>
      <c r="K20" s="16">
        <f>Requests!G20</f>
        <v/>
      </c>
      <c r="L20" s="16">
        <f>IF(K20&lt;&gt;"","Pass","Fail – Missing FOS")</f>
        <v/>
      </c>
      <c r="M20" s="16">
        <f>Requests!H20</f>
        <v/>
      </c>
      <c r="N20" s="16">
        <f>IF(OR(M20="Basic",M20="Intermediate",M20="Advanced"),"Pass","Fail")</f>
        <v/>
      </c>
      <c r="O20" s="16">
        <f>Requests!K20</f>
        <v/>
      </c>
      <c r="P20" s="16">
        <f>IF(D20="Self-study",IF(O20&gt;=ROUNDUP(Q20*Rules!$C$12,0),"Pass","Fail"),"N/A")</f>
        <v/>
      </c>
      <c r="Q20" s="17">
        <f>IF(C20&lt;25,0,FLOOR(C20/50,0.5))</f>
        <v/>
      </c>
      <c r="R20" s="17">
        <f>IF(C20&lt;50,0,ROUNDDOWN(C20/50*5,0)/5)</f>
        <v/>
      </c>
      <c r="S20" s="16">
        <f>IF(AND(Requests!O20&lt;&gt;"Approved",Requests!M20&lt;TODAY()),"Overdue",IF(Requests!M20-TODAY()&lt;=Rules!$C$26,"Due Soon","On Track"))</f>
        <v/>
      </c>
      <c r="T20" s="16">
        <f>IF(AND(G20="Pass",J20&lt;&gt;"Fail",L20="Pass",N20="Pass",P20&lt;&gt;"Fail"),"Approved",IF(OR(L20="Fail – Missing FOS",N20="Fail"),"Escalate","Needs Correction"))</f>
        <v/>
      </c>
      <c r="U20" s="16">
        <f>IFERROR(IF(G20&lt;&gt;"Pass","Insufficient learning objectives; ","")&amp;IF(AND(J20="Fail",D20="Group"),"Missing attendance checks; ","")&amp;IF(L20&lt;&gt;"Pass","Missing field of study; ","")&amp;IF(N20&lt;&gt;"Pass","Invalid program level; ","")&amp;IF(AND(P20="Fail",D20="Self-study"),"Insufficient review questions; ",""),"Check data")</f>
        <v/>
      </c>
    </row>
    <row r="21">
      <c r="A21" s="16">
        <f>Requests!A21</f>
        <v/>
      </c>
      <c r="B21" s="16">
        <f>Requests!B21</f>
        <v/>
      </c>
      <c r="C21" s="16">
        <f>Requests!F21</f>
        <v/>
      </c>
      <c r="D21" s="16">
        <f>Requests!E21</f>
        <v/>
      </c>
      <c r="E21" s="16">
        <f>Requests!I21</f>
        <v/>
      </c>
      <c r="F21" s="16">
        <f>ROUNDUP(C21/50*Rules!$C$5,0)</f>
        <v/>
      </c>
      <c r="G21" s="16">
        <f>IF(E21&gt;=F21,"Pass","Fail")</f>
        <v/>
      </c>
      <c r="H21" s="16">
        <f>Requests!J21</f>
        <v/>
      </c>
      <c r="I21" s="16">
        <f>IF(D21="Group",ROUNDUP(C21/50*Rules!$C$9,0),0)</f>
        <v/>
      </c>
      <c r="J21" s="16">
        <f>IF(D21="Self-study","N/A",IF(H21&gt;=I21,"Pass","Fail"))</f>
        <v/>
      </c>
      <c r="K21" s="16">
        <f>Requests!G21</f>
        <v/>
      </c>
      <c r="L21" s="16">
        <f>IF(K21&lt;&gt;"","Pass","Fail – Missing FOS")</f>
        <v/>
      </c>
      <c r="M21" s="16">
        <f>Requests!H21</f>
        <v/>
      </c>
      <c r="N21" s="16">
        <f>IF(OR(M21="Basic",M21="Intermediate",M21="Advanced"),"Pass","Fail")</f>
        <v/>
      </c>
      <c r="O21" s="16">
        <f>Requests!K21</f>
        <v/>
      </c>
      <c r="P21" s="16">
        <f>IF(D21="Self-study",IF(O21&gt;=ROUNDUP(Q21*Rules!$C$12,0),"Pass","Fail"),"N/A")</f>
        <v/>
      </c>
      <c r="Q21" s="17">
        <f>IF(C21&lt;25,0,FLOOR(C21/50,0.5))</f>
        <v/>
      </c>
      <c r="R21" s="17">
        <f>IF(C21&lt;50,0,ROUNDDOWN(C21/50*5,0)/5)</f>
        <v/>
      </c>
      <c r="S21" s="16">
        <f>IF(AND(Requests!O21&lt;&gt;"Approved",Requests!M21&lt;TODAY()),"Overdue",IF(Requests!M21-TODAY()&lt;=Rules!$C$26,"Due Soon","On Track"))</f>
        <v/>
      </c>
      <c r="T21" s="16">
        <f>IF(AND(G21="Pass",J21&lt;&gt;"Fail",L21="Pass",N21="Pass",P21&lt;&gt;"Fail"),"Approved",IF(OR(L21="Fail – Missing FOS",N21="Fail"),"Escalate","Needs Correction"))</f>
        <v/>
      </c>
      <c r="U21" s="16">
        <f>IFERROR(IF(G21&lt;&gt;"Pass","Insufficient learning objectives; ","")&amp;IF(AND(J21="Fail",D21="Group"),"Missing attendance checks; ","")&amp;IF(L21&lt;&gt;"Pass","Missing field of study; ","")&amp;IF(N21&lt;&gt;"Pass","Invalid program level; ","")&amp;IF(AND(P21="Fail",D21="Self-study"),"Insufficient review questions; ",""),"Check data")</f>
        <v/>
      </c>
    </row>
    <row r="22">
      <c r="A22" s="16">
        <f>Requests!A22</f>
        <v/>
      </c>
      <c r="B22" s="16">
        <f>Requests!B22</f>
        <v/>
      </c>
      <c r="C22" s="16">
        <f>Requests!F22</f>
        <v/>
      </c>
      <c r="D22" s="16">
        <f>Requests!E22</f>
        <v/>
      </c>
      <c r="E22" s="16">
        <f>Requests!I22</f>
        <v/>
      </c>
      <c r="F22" s="16">
        <f>ROUNDUP(C22/50*Rules!$C$5,0)</f>
        <v/>
      </c>
      <c r="G22" s="16">
        <f>IF(E22&gt;=F22,"Pass","Fail")</f>
        <v/>
      </c>
      <c r="H22" s="16">
        <f>Requests!J22</f>
        <v/>
      </c>
      <c r="I22" s="16">
        <f>IF(D22="Group",ROUNDUP(C22/50*Rules!$C$9,0),0)</f>
        <v/>
      </c>
      <c r="J22" s="16">
        <f>IF(D22="Self-study","N/A",IF(H22&gt;=I22,"Pass","Fail"))</f>
        <v/>
      </c>
      <c r="K22" s="16">
        <f>Requests!G22</f>
        <v/>
      </c>
      <c r="L22" s="16">
        <f>IF(K22&lt;&gt;"","Pass","Fail – Missing FOS")</f>
        <v/>
      </c>
      <c r="M22" s="16">
        <f>Requests!H22</f>
        <v/>
      </c>
      <c r="N22" s="16">
        <f>IF(OR(M22="Basic",M22="Intermediate",M22="Advanced"),"Pass","Fail")</f>
        <v/>
      </c>
      <c r="O22" s="16">
        <f>Requests!K22</f>
        <v/>
      </c>
      <c r="P22" s="16">
        <f>IF(D22="Self-study",IF(O22&gt;=ROUNDUP(Q22*Rules!$C$12,0),"Pass","Fail"),"N/A")</f>
        <v/>
      </c>
      <c r="Q22" s="17">
        <f>IF(C22&lt;25,0,FLOOR(C22/50,0.5))</f>
        <v/>
      </c>
      <c r="R22" s="17">
        <f>IF(C22&lt;50,0,ROUNDDOWN(C22/50*5,0)/5)</f>
        <v/>
      </c>
      <c r="S22" s="16">
        <f>IF(AND(Requests!O22&lt;&gt;"Approved",Requests!M22&lt;TODAY()),"Overdue",IF(Requests!M22-TODAY()&lt;=Rules!$C$26,"Due Soon","On Track"))</f>
        <v/>
      </c>
      <c r="T22" s="16">
        <f>IF(AND(G22="Pass",J22&lt;&gt;"Fail",L22="Pass",N22="Pass",P22&lt;&gt;"Fail"),"Approved",IF(OR(L22="Fail – Missing FOS",N22="Fail"),"Escalate","Needs Correction"))</f>
        <v/>
      </c>
      <c r="U22" s="16">
        <f>IFERROR(IF(G22&lt;&gt;"Pass","Insufficient learning objectives; ","")&amp;IF(AND(J22="Fail",D22="Group"),"Missing attendance checks; ","")&amp;IF(L22&lt;&gt;"Pass","Missing field of study; ","")&amp;IF(N22&lt;&gt;"Pass","Invalid program level; ","")&amp;IF(AND(P22="Fail",D22="Self-study"),"Insufficient review questions; ",""),"Check data")</f>
        <v/>
      </c>
    </row>
    <row r="23">
      <c r="A23" s="16">
        <f>Requests!A23</f>
        <v/>
      </c>
      <c r="B23" s="16">
        <f>Requests!B23</f>
        <v/>
      </c>
      <c r="C23" s="16">
        <f>Requests!F23</f>
        <v/>
      </c>
      <c r="D23" s="16">
        <f>Requests!E23</f>
        <v/>
      </c>
      <c r="E23" s="16">
        <f>Requests!I23</f>
        <v/>
      </c>
      <c r="F23" s="16">
        <f>ROUNDUP(C23/50*Rules!$C$5,0)</f>
        <v/>
      </c>
      <c r="G23" s="16">
        <f>IF(E23&gt;=F23,"Pass","Fail")</f>
        <v/>
      </c>
      <c r="H23" s="16">
        <f>Requests!J23</f>
        <v/>
      </c>
      <c r="I23" s="16">
        <f>IF(D23="Group",ROUNDUP(C23/50*Rules!$C$9,0),0)</f>
        <v/>
      </c>
      <c r="J23" s="16">
        <f>IF(D23="Self-study","N/A",IF(H23&gt;=I23,"Pass","Fail"))</f>
        <v/>
      </c>
      <c r="K23" s="16">
        <f>Requests!G23</f>
        <v/>
      </c>
      <c r="L23" s="16">
        <f>IF(K23&lt;&gt;"","Pass","Fail – Missing FOS")</f>
        <v/>
      </c>
      <c r="M23" s="16">
        <f>Requests!H23</f>
        <v/>
      </c>
      <c r="N23" s="16">
        <f>IF(OR(M23="Basic",M23="Intermediate",M23="Advanced"),"Pass","Fail")</f>
        <v/>
      </c>
      <c r="O23" s="16">
        <f>Requests!K23</f>
        <v/>
      </c>
      <c r="P23" s="16">
        <f>IF(D23="Self-study",IF(O23&gt;=ROUNDUP(Q23*Rules!$C$12,0),"Pass","Fail"),"N/A")</f>
        <v/>
      </c>
      <c r="Q23" s="17">
        <f>IF(C23&lt;25,0,FLOOR(C23/50,0.5))</f>
        <v/>
      </c>
      <c r="R23" s="17">
        <f>IF(C23&lt;50,0,ROUNDDOWN(C23/50*5,0)/5)</f>
        <v/>
      </c>
      <c r="S23" s="16">
        <f>IF(AND(Requests!O23&lt;&gt;"Approved",Requests!M23&lt;TODAY()),"Overdue",IF(Requests!M23-TODAY()&lt;=Rules!$C$26,"Due Soon","On Track"))</f>
        <v/>
      </c>
      <c r="T23" s="16">
        <f>IF(AND(G23="Pass",J23&lt;&gt;"Fail",L23="Pass",N23="Pass",P23&lt;&gt;"Fail"),"Approved",IF(OR(L23="Fail – Missing FOS",N23="Fail"),"Escalate","Needs Correction"))</f>
        <v/>
      </c>
      <c r="U23" s="16">
        <f>IFERROR(IF(G23&lt;&gt;"Pass","Insufficient learning objectives; ","")&amp;IF(AND(J23="Fail",D23="Group"),"Missing attendance checks; ","")&amp;IF(L23&lt;&gt;"Pass","Missing field of study; ","")&amp;IF(N23&lt;&gt;"Pass","Invalid program level; ","")&amp;IF(AND(P23="Fail",D23="Self-study"),"Insufficient review questions; ",""),"Check data")</f>
        <v/>
      </c>
    </row>
    <row r="24">
      <c r="A24" s="16">
        <f>Requests!A24</f>
        <v/>
      </c>
      <c r="B24" s="16">
        <f>Requests!B24</f>
        <v/>
      </c>
      <c r="C24" s="16">
        <f>Requests!F24</f>
        <v/>
      </c>
      <c r="D24" s="16">
        <f>Requests!E24</f>
        <v/>
      </c>
      <c r="E24" s="16">
        <f>Requests!I24</f>
        <v/>
      </c>
      <c r="F24" s="16">
        <f>ROUNDUP(C24/50*Rules!$C$5,0)</f>
        <v/>
      </c>
      <c r="G24" s="16">
        <f>IF(E24&gt;=F24,"Pass","Fail")</f>
        <v/>
      </c>
      <c r="H24" s="16">
        <f>Requests!J24</f>
        <v/>
      </c>
      <c r="I24" s="16">
        <f>IF(D24="Group",ROUNDUP(C24/50*Rules!$C$9,0),0)</f>
        <v/>
      </c>
      <c r="J24" s="16">
        <f>IF(D24="Self-study","N/A",IF(H24&gt;=I24,"Pass","Fail"))</f>
        <v/>
      </c>
      <c r="K24" s="16">
        <f>Requests!G24</f>
        <v/>
      </c>
      <c r="L24" s="16">
        <f>IF(K24&lt;&gt;"","Pass","Fail – Missing FOS")</f>
        <v/>
      </c>
      <c r="M24" s="16">
        <f>Requests!H24</f>
        <v/>
      </c>
      <c r="N24" s="16">
        <f>IF(OR(M24="Basic",M24="Intermediate",M24="Advanced"),"Pass","Fail")</f>
        <v/>
      </c>
      <c r="O24" s="16">
        <f>Requests!K24</f>
        <v/>
      </c>
      <c r="P24" s="16">
        <f>IF(D24="Self-study",IF(O24&gt;=ROUNDUP(Q24*Rules!$C$12,0),"Pass","Fail"),"N/A")</f>
        <v/>
      </c>
      <c r="Q24" s="17">
        <f>IF(C24&lt;25,0,FLOOR(C24/50,0.5))</f>
        <v/>
      </c>
      <c r="R24" s="17">
        <f>IF(C24&lt;50,0,ROUNDDOWN(C24/50*5,0)/5)</f>
        <v/>
      </c>
      <c r="S24" s="16">
        <f>IF(AND(Requests!O24&lt;&gt;"Approved",Requests!M24&lt;TODAY()),"Overdue",IF(Requests!M24-TODAY()&lt;=Rules!$C$26,"Due Soon","On Track"))</f>
        <v/>
      </c>
      <c r="T24" s="16">
        <f>IF(AND(G24="Pass",J24&lt;&gt;"Fail",L24="Pass",N24="Pass",P24&lt;&gt;"Fail"),"Approved",IF(OR(L24="Fail – Missing FOS",N24="Fail"),"Escalate","Needs Correction"))</f>
        <v/>
      </c>
      <c r="U24" s="16">
        <f>IFERROR(IF(G24&lt;&gt;"Pass","Insufficient learning objectives; ","")&amp;IF(AND(J24="Fail",D24="Group"),"Missing attendance checks; ","")&amp;IF(L24&lt;&gt;"Pass","Missing field of study; ","")&amp;IF(N24&lt;&gt;"Pass","Invalid program level; ","")&amp;IF(AND(P24="Fail",D24="Self-study"),"Insufficient review questions; ",""),"Check data")</f>
        <v/>
      </c>
    </row>
    <row r="25">
      <c r="A25" s="16">
        <f>Requests!A25</f>
        <v/>
      </c>
      <c r="B25" s="16">
        <f>Requests!B25</f>
        <v/>
      </c>
      <c r="C25" s="16">
        <f>Requests!F25</f>
        <v/>
      </c>
      <c r="D25" s="16">
        <f>Requests!E25</f>
        <v/>
      </c>
      <c r="E25" s="16">
        <f>Requests!I25</f>
        <v/>
      </c>
      <c r="F25" s="16">
        <f>ROUNDUP(C25/50*Rules!$C$5,0)</f>
        <v/>
      </c>
      <c r="G25" s="16">
        <f>IF(E25&gt;=F25,"Pass","Fail")</f>
        <v/>
      </c>
      <c r="H25" s="16">
        <f>Requests!J25</f>
        <v/>
      </c>
      <c r="I25" s="16">
        <f>IF(D25="Group",ROUNDUP(C25/50*Rules!$C$9,0),0)</f>
        <v/>
      </c>
      <c r="J25" s="16">
        <f>IF(D25="Self-study","N/A",IF(H25&gt;=I25,"Pass","Fail"))</f>
        <v/>
      </c>
      <c r="K25" s="16">
        <f>Requests!G25</f>
        <v/>
      </c>
      <c r="L25" s="16">
        <f>IF(K25&lt;&gt;"","Pass","Fail – Missing FOS")</f>
        <v/>
      </c>
      <c r="M25" s="16">
        <f>Requests!H25</f>
        <v/>
      </c>
      <c r="N25" s="16">
        <f>IF(OR(M25="Basic",M25="Intermediate",M25="Advanced"),"Pass","Fail")</f>
        <v/>
      </c>
      <c r="O25" s="16">
        <f>Requests!K25</f>
        <v/>
      </c>
      <c r="P25" s="16">
        <f>IF(D25="Self-study",IF(O25&gt;=ROUNDUP(Q25*Rules!$C$12,0),"Pass","Fail"),"N/A")</f>
        <v/>
      </c>
      <c r="Q25" s="17">
        <f>IF(C25&lt;25,0,FLOOR(C25/50,0.5))</f>
        <v/>
      </c>
      <c r="R25" s="17">
        <f>IF(C25&lt;50,0,ROUNDDOWN(C25/50*5,0)/5)</f>
        <v/>
      </c>
      <c r="S25" s="16">
        <f>IF(AND(Requests!O25&lt;&gt;"Approved",Requests!M25&lt;TODAY()),"Overdue",IF(Requests!M25-TODAY()&lt;=Rules!$C$26,"Due Soon","On Track"))</f>
        <v/>
      </c>
      <c r="T25" s="16">
        <f>IF(AND(G25="Pass",J25&lt;&gt;"Fail",L25="Pass",N25="Pass",P25&lt;&gt;"Fail"),"Approved",IF(OR(L25="Fail – Missing FOS",N25="Fail"),"Escalate","Needs Correction"))</f>
        <v/>
      </c>
      <c r="U25" s="16">
        <f>IFERROR(IF(G25&lt;&gt;"Pass","Insufficient learning objectives; ","")&amp;IF(AND(J25="Fail",D25="Group"),"Missing attendance checks; ","")&amp;IF(L25&lt;&gt;"Pass","Missing field of study; ","")&amp;IF(N25&lt;&gt;"Pass","Invalid program level; ","")&amp;IF(AND(P25="Fail",D25="Self-study"),"Insufficient review questions; ",""),"Check data")</f>
        <v/>
      </c>
    </row>
    <row r="26">
      <c r="A26" s="16">
        <f>Requests!A26</f>
        <v/>
      </c>
      <c r="B26" s="16">
        <f>Requests!B26</f>
        <v/>
      </c>
      <c r="C26" s="16">
        <f>Requests!F26</f>
        <v/>
      </c>
      <c r="D26" s="16">
        <f>Requests!E26</f>
        <v/>
      </c>
      <c r="E26" s="16">
        <f>Requests!I26</f>
        <v/>
      </c>
      <c r="F26" s="16">
        <f>ROUNDUP(C26/50*Rules!$C$5,0)</f>
        <v/>
      </c>
      <c r="G26" s="16">
        <f>IF(E26&gt;=F26,"Pass","Fail")</f>
        <v/>
      </c>
      <c r="H26" s="16">
        <f>Requests!J26</f>
        <v/>
      </c>
      <c r="I26" s="16">
        <f>IF(D26="Group",ROUNDUP(C26/50*Rules!$C$9,0),0)</f>
        <v/>
      </c>
      <c r="J26" s="16">
        <f>IF(D26="Self-study","N/A",IF(H26&gt;=I26,"Pass","Fail"))</f>
        <v/>
      </c>
      <c r="K26" s="16">
        <f>Requests!G26</f>
        <v/>
      </c>
      <c r="L26" s="16">
        <f>IF(K26&lt;&gt;"","Pass","Fail – Missing FOS")</f>
        <v/>
      </c>
      <c r="M26" s="16">
        <f>Requests!H26</f>
        <v/>
      </c>
      <c r="N26" s="16">
        <f>IF(OR(M26="Basic",M26="Intermediate",M26="Advanced"),"Pass","Fail")</f>
        <v/>
      </c>
      <c r="O26" s="16">
        <f>Requests!K26</f>
        <v/>
      </c>
      <c r="P26" s="16">
        <f>IF(D26="Self-study",IF(O26&gt;=ROUNDUP(Q26*Rules!$C$12,0),"Pass","Fail"),"N/A")</f>
        <v/>
      </c>
      <c r="Q26" s="17">
        <f>IF(C26&lt;25,0,FLOOR(C26/50,0.5))</f>
        <v/>
      </c>
      <c r="R26" s="17">
        <f>IF(C26&lt;50,0,ROUNDDOWN(C26/50*5,0)/5)</f>
        <v/>
      </c>
      <c r="S26" s="16">
        <f>IF(AND(Requests!O26&lt;&gt;"Approved",Requests!M26&lt;TODAY()),"Overdue",IF(Requests!M26-TODAY()&lt;=Rules!$C$26,"Due Soon","On Track"))</f>
        <v/>
      </c>
      <c r="T26" s="16">
        <f>IF(AND(G26="Pass",J26&lt;&gt;"Fail",L26="Pass",N26="Pass",P26&lt;&gt;"Fail"),"Approved",IF(OR(L26="Fail – Missing FOS",N26="Fail"),"Escalate","Needs Correction"))</f>
        <v/>
      </c>
      <c r="U26" s="16">
        <f>IFERROR(IF(G26&lt;&gt;"Pass","Insufficient learning objectives; ","")&amp;IF(AND(J26="Fail",D26="Group"),"Missing attendance checks; ","")&amp;IF(L26&lt;&gt;"Pass","Missing field of study; ","")&amp;IF(N26&lt;&gt;"Pass","Invalid program level; ","")&amp;IF(AND(P26="Fail",D26="Self-study"),"Insufficient review questions; ",""),"Check data")</f>
        <v/>
      </c>
    </row>
    <row r="27">
      <c r="A27" s="16">
        <f>Requests!A27</f>
        <v/>
      </c>
      <c r="B27" s="16">
        <f>Requests!B27</f>
        <v/>
      </c>
      <c r="C27" s="16">
        <f>Requests!F27</f>
        <v/>
      </c>
      <c r="D27" s="16">
        <f>Requests!E27</f>
        <v/>
      </c>
      <c r="E27" s="16">
        <f>Requests!I27</f>
        <v/>
      </c>
      <c r="F27" s="16">
        <f>ROUNDUP(C27/50*Rules!$C$5,0)</f>
        <v/>
      </c>
      <c r="G27" s="16">
        <f>IF(E27&gt;=F27,"Pass","Fail")</f>
        <v/>
      </c>
      <c r="H27" s="16">
        <f>Requests!J27</f>
        <v/>
      </c>
      <c r="I27" s="16">
        <f>IF(D27="Group",ROUNDUP(C27/50*Rules!$C$9,0),0)</f>
        <v/>
      </c>
      <c r="J27" s="16">
        <f>IF(D27="Self-study","N/A",IF(H27&gt;=I27,"Pass","Fail"))</f>
        <v/>
      </c>
      <c r="K27" s="16">
        <f>Requests!G27</f>
        <v/>
      </c>
      <c r="L27" s="16">
        <f>IF(K27&lt;&gt;"","Pass","Fail – Missing FOS")</f>
        <v/>
      </c>
      <c r="M27" s="16">
        <f>Requests!H27</f>
        <v/>
      </c>
      <c r="N27" s="16">
        <f>IF(OR(M27="Basic",M27="Intermediate",M27="Advanced"),"Pass","Fail")</f>
        <v/>
      </c>
      <c r="O27" s="16">
        <f>Requests!K27</f>
        <v/>
      </c>
      <c r="P27" s="16">
        <f>IF(D27="Self-study",IF(O27&gt;=ROUNDUP(Q27*Rules!$C$12,0),"Pass","Fail"),"N/A")</f>
        <v/>
      </c>
      <c r="Q27" s="17">
        <f>IF(C27&lt;25,0,FLOOR(C27/50,0.5))</f>
        <v/>
      </c>
      <c r="R27" s="17">
        <f>IF(C27&lt;50,0,ROUNDDOWN(C27/50*5,0)/5)</f>
        <v/>
      </c>
      <c r="S27" s="16">
        <f>IF(AND(Requests!O27&lt;&gt;"Approved",Requests!M27&lt;TODAY()),"Overdue",IF(Requests!M27-TODAY()&lt;=Rules!$C$26,"Due Soon","On Track"))</f>
        <v/>
      </c>
      <c r="T27" s="16">
        <f>IF(AND(G27="Pass",J27&lt;&gt;"Fail",L27="Pass",N27="Pass",P27&lt;&gt;"Fail"),"Approved",IF(OR(L27="Fail – Missing FOS",N27="Fail"),"Escalate","Needs Correction"))</f>
        <v/>
      </c>
      <c r="U27" s="16">
        <f>IFERROR(IF(G27&lt;&gt;"Pass","Insufficient learning objectives; ","")&amp;IF(AND(J27="Fail",D27="Group"),"Missing attendance checks; ","")&amp;IF(L27&lt;&gt;"Pass","Missing field of study; ","")&amp;IF(N27&lt;&gt;"Pass","Invalid program level; ","")&amp;IF(AND(P27="Fail",D27="Self-study"),"Insufficient review questions; ",""),"Check data")</f>
        <v/>
      </c>
    </row>
    <row r="28">
      <c r="A28" s="16">
        <f>Requests!A28</f>
        <v/>
      </c>
      <c r="B28" s="16">
        <f>Requests!B28</f>
        <v/>
      </c>
      <c r="C28" s="16">
        <f>Requests!F28</f>
        <v/>
      </c>
      <c r="D28" s="16">
        <f>Requests!E28</f>
        <v/>
      </c>
      <c r="E28" s="16">
        <f>Requests!I28</f>
        <v/>
      </c>
      <c r="F28" s="16">
        <f>ROUNDUP(C28/50*Rules!$C$5,0)</f>
        <v/>
      </c>
      <c r="G28" s="16">
        <f>IF(E28&gt;=F28,"Pass","Fail")</f>
        <v/>
      </c>
      <c r="H28" s="16">
        <f>Requests!J28</f>
        <v/>
      </c>
      <c r="I28" s="16">
        <f>IF(D28="Group",ROUNDUP(C28/50*Rules!$C$9,0),0)</f>
        <v/>
      </c>
      <c r="J28" s="16">
        <f>IF(D28="Self-study","N/A",IF(H28&gt;=I28,"Pass","Fail"))</f>
        <v/>
      </c>
      <c r="K28" s="16">
        <f>Requests!G28</f>
        <v/>
      </c>
      <c r="L28" s="16">
        <f>IF(K28&lt;&gt;"","Pass","Fail – Missing FOS")</f>
        <v/>
      </c>
      <c r="M28" s="16">
        <f>Requests!H28</f>
        <v/>
      </c>
      <c r="N28" s="16">
        <f>IF(OR(M28="Basic",M28="Intermediate",M28="Advanced"),"Pass","Fail")</f>
        <v/>
      </c>
      <c r="O28" s="16">
        <f>Requests!K28</f>
        <v/>
      </c>
      <c r="P28" s="16">
        <f>IF(D28="Self-study",IF(O28&gt;=ROUNDUP(Q28*Rules!$C$12,0),"Pass","Fail"),"N/A")</f>
        <v/>
      </c>
      <c r="Q28" s="17">
        <f>IF(C28&lt;25,0,FLOOR(C28/50,0.5))</f>
        <v/>
      </c>
      <c r="R28" s="17">
        <f>IF(C28&lt;50,0,ROUNDDOWN(C28/50*5,0)/5)</f>
        <v/>
      </c>
      <c r="S28" s="16">
        <f>IF(AND(Requests!O28&lt;&gt;"Approved",Requests!M28&lt;TODAY()),"Overdue",IF(Requests!M28-TODAY()&lt;=Rules!$C$26,"Due Soon","On Track"))</f>
        <v/>
      </c>
      <c r="T28" s="16">
        <f>IF(AND(G28="Pass",J28&lt;&gt;"Fail",L28="Pass",N28="Pass",P28&lt;&gt;"Fail"),"Approved",IF(OR(L28="Fail – Missing FOS",N28="Fail"),"Escalate","Needs Correction"))</f>
        <v/>
      </c>
      <c r="U28" s="16">
        <f>IFERROR(IF(G28&lt;&gt;"Pass","Insufficient learning objectives; ","")&amp;IF(AND(J28="Fail",D28="Group"),"Missing attendance checks; ","")&amp;IF(L28&lt;&gt;"Pass","Missing field of study; ","")&amp;IF(N28&lt;&gt;"Pass","Invalid program level; ","")&amp;IF(AND(P28="Fail",D28="Self-study"),"Insufficient review questions; ",""),"Check data")</f>
        <v/>
      </c>
    </row>
    <row r="29">
      <c r="A29" s="16">
        <f>Requests!A29</f>
        <v/>
      </c>
      <c r="B29" s="16">
        <f>Requests!B29</f>
        <v/>
      </c>
      <c r="C29" s="16">
        <f>Requests!F29</f>
        <v/>
      </c>
      <c r="D29" s="16">
        <f>Requests!E29</f>
        <v/>
      </c>
      <c r="E29" s="16">
        <f>Requests!I29</f>
        <v/>
      </c>
      <c r="F29" s="16">
        <f>ROUNDUP(C29/50*Rules!$C$5,0)</f>
        <v/>
      </c>
      <c r="G29" s="16">
        <f>IF(E29&gt;=F29,"Pass","Fail")</f>
        <v/>
      </c>
      <c r="H29" s="16">
        <f>Requests!J29</f>
        <v/>
      </c>
      <c r="I29" s="16">
        <f>IF(D29="Group",ROUNDUP(C29/50*Rules!$C$9,0),0)</f>
        <v/>
      </c>
      <c r="J29" s="16">
        <f>IF(D29="Self-study","N/A",IF(H29&gt;=I29,"Pass","Fail"))</f>
        <v/>
      </c>
      <c r="K29" s="16">
        <f>Requests!G29</f>
        <v/>
      </c>
      <c r="L29" s="16">
        <f>IF(K29&lt;&gt;"","Pass","Fail – Missing FOS")</f>
        <v/>
      </c>
      <c r="M29" s="16">
        <f>Requests!H29</f>
        <v/>
      </c>
      <c r="N29" s="16">
        <f>IF(OR(M29="Basic",M29="Intermediate",M29="Advanced"),"Pass","Fail")</f>
        <v/>
      </c>
      <c r="O29" s="16">
        <f>Requests!K29</f>
        <v/>
      </c>
      <c r="P29" s="16">
        <f>IF(D29="Self-study",IF(O29&gt;=ROUNDUP(Q29*Rules!$C$12,0),"Pass","Fail"),"N/A")</f>
        <v/>
      </c>
      <c r="Q29" s="17">
        <f>IF(C29&lt;25,0,FLOOR(C29/50,0.5))</f>
        <v/>
      </c>
      <c r="R29" s="17">
        <f>IF(C29&lt;50,0,ROUNDDOWN(C29/50*5,0)/5)</f>
        <v/>
      </c>
      <c r="S29" s="16">
        <f>IF(AND(Requests!O29&lt;&gt;"Approved",Requests!M29&lt;TODAY()),"Overdue",IF(Requests!M29-TODAY()&lt;=Rules!$C$26,"Due Soon","On Track"))</f>
        <v/>
      </c>
      <c r="T29" s="16">
        <f>IF(AND(G29="Pass",J29&lt;&gt;"Fail",L29="Pass",N29="Pass",P29&lt;&gt;"Fail"),"Approved",IF(OR(L29="Fail – Missing FOS",N29="Fail"),"Escalate","Needs Correction"))</f>
        <v/>
      </c>
      <c r="U29" s="16">
        <f>IFERROR(IF(G29&lt;&gt;"Pass","Insufficient learning objectives; ","")&amp;IF(AND(J29="Fail",D29="Group"),"Missing attendance checks; ","")&amp;IF(L29&lt;&gt;"Pass","Missing field of study; ","")&amp;IF(N29&lt;&gt;"Pass","Invalid program level; ","")&amp;IF(AND(P29="Fail",D29="Self-study"),"Insufficient review questions; ",""),"Check data")</f>
        <v/>
      </c>
    </row>
    <row r="30">
      <c r="A30" s="16">
        <f>Requests!A30</f>
        <v/>
      </c>
      <c r="B30" s="16">
        <f>Requests!B30</f>
        <v/>
      </c>
      <c r="C30" s="16">
        <f>Requests!F30</f>
        <v/>
      </c>
      <c r="D30" s="16">
        <f>Requests!E30</f>
        <v/>
      </c>
      <c r="E30" s="16">
        <f>Requests!I30</f>
        <v/>
      </c>
      <c r="F30" s="16">
        <f>ROUNDUP(C30/50*Rules!$C$5,0)</f>
        <v/>
      </c>
      <c r="G30" s="16">
        <f>IF(E30&gt;=F30,"Pass","Fail")</f>
        <v/>
      </c>
      <c r="H30" s="16">
        <f>Requests!J30</f>
        <v/>
      </c>
      <c r="I30" s="16">
        <f>IF(D30="Group",ROUNDUP(C30/50*Rules!$C$9,0),0)</f>
        <v/>
      </c>
      <c r="J30" s="16">
        <f>IF(D30="Self-study","N/A",IF(H30&gt;=I30,"Pass","Fail"))</f>
        <v/>
      </c>
      <c r="K30" s="16">
        <f>Requests!G30</f>
        <v/>
      </c>
      <c r="L30" s="16">
        <f>IF(K30&lt;&gt;"","Pass","Fail – Missing FOS")</f>
        <v/>
      </c>
      <c r="M30" s="16">
        <f>Requests!H30</f>
        <v/>
      </c>
      <c r="N30" s="16">
        <f>IF(OR(M30="Basic",M30="Intermediate",M30="Advanced"),"Pass","Fail")</f>
        <v/>
      </c>
      <c r="O30" s="16">
        <f>Requests!K30</f>
        <v/>
      </c>
      <c r="P30" s="16">
        <f>IF(D30="Self-study",IF(O30&gt;=ROUNDUP(Q30*Rules!$C$12,0),"Pass","Fail"),"N/A")</f>
        <v/>
      </c>
      <c r="Q30" s="17">
        <f>IF(C30&lt;25,0,FLOOR(C30/50,0.5))</f>
        <v/>
      </c>
      <c r="R30" s="17">
        <f>IF(C30&lt;50,0,ROUNDDOWN(C30/50*5,0)/5)</f>
        <v/>
      </c>
      <c r="S30" s="16">
        <f>IF(AND(Requests!O30&lt;&gt;"Approved",Requests!M30&lt;TODAY()),"Overdue",IF(Requests!M30-TODAY()&lt;=Rules!$C$26,"Due Soon","On Track"))</f>
        <v/>
      </c>
      <c r="T30" s="16">
        <f>IF(AND(G30="Pass",J30&lt;&gt;"Fail",L30="Pass",N30="Pass",P30&lt;&gt;"Fail"),"Approved",IF(OR(L30="Fail – Missing FOS",N30="Fail"),"Escalate","Needs Correction"))</f>
        <v/>
      </c>
      <c r="U30" s="16">
        <f>IFERROR(IF(G30&lt;&gt;"Pass","Insufficient learning objectives; ","")&amp;IF(AND(J30="Fail",D30="Group"),"Missing attendance checks; ","")&amp;IF(L30&lt;&gt;"Pass","Missing field of study; ","")&amp;IF(N30&lt;&gt;"Pass","Invalid program level; ","")&amp;IF(AND(P30="Fail",D30="Self-study"),"Insufficient review questions; ",""),"Check data")</f>
        <v/>
      </c>
    </row>
    <row r="31">
      <c r="A31" s="16">
        <f>Requests!A31</f>
        <v/>
      </c>
      <c r="B31" s="16">
        <f>Requests!B31</f>
        <v/>
      </c>
      <c r="C31" s="16">
        <f>Requests!F31</f>
        <v/>
      </c>
      <c r="D31" s="16">
        <f>Requests!E31</f>
        <v/>
      </c>
      <c r="E31" s="16">
        <f>Requests!I31</f>
        <v/>
      </c>
      <c r="F31" s="16">
        <f>ROUNDUP(C31/50*Rules!$C$5,0)</f>
        <v/>
      </c>
      <c r="G31" s="16">
        <f>IF(E31&gt;=F31,"Pass","Fail")</f>
        <v/>
      </c>
      <c r="H31" s="16">
        <f>Requests!J31</f>
        <v/>
      </c>
      <c r="I31" s="16">
        <f>IF(D31="Group",ROUNDUP(C31/50*Rules!$C$9,0),0)</f>
        <v/>
      </c>
      <c r="J31" s="16">
        <f>IF(D31="Self-study","N/A",IF(H31&gt;=I31,"Pass","Fail"))</f>
        <v/>
      </c>
      <c r="K31" s="16">
        <f>Requests!G31</f>
        <v/>
      </c>
      <c r="L31" s="16">
        <f>IF(K31&lt;&gt;"","Pass","Fail – Missing FOS")</f>
        <v/>
      </c>
      <c r="M31" s="16">
        <f>Requests!H31</f>
        <v/>
      </c>
      <c r="N31" s="16">
        <f>IF(OR(M31="Basic",M31="Intermediate",M31="Advanced"),"Pass","Fail")</f>
        <v/>
      </c>
      <c r="O31" s="16">
        <f>Requests!K31</f>
        <v/>
      </c>
      <c r="P31" s="16">
        <f>IF(D31="Self-study",IF(O31&gt;=ROUNDUP(Q31*Rules!$C$12,0),"Pass","Fail"),"N/A")</f>
        <v/>
      </c>
      <c r="Q31" s="17">
        <f>IF(C31&lt;25,0,FLOOR(C31/50,0.5))</f>
        <v/>
      </c>
      <c r="R31" s="17">
        <f>IF(C31&lt;50,0,ROUNDDOWN(C31/50*5,0)/5)</f>
        <v/>
      </c>
      <c r="S31" s="16">
        <f>IF(AND(Requests!O31&lt;&gt;"Approved",Requests!M31&lt;TODAY()),"Overdue",IF(Requests!M31-TODAY()&lt;=Rules!$C$26,"Due Soon","On Track"))</f>
        <v/>
      </c>
      <c r="T31" s="16">
        <f>IF(AND(G31="Pass",J31&lt;&gt;"Fail",L31="Pass",N31="Pass",P31&lt;&gt;"Fail"),"Approved",IF(OR(L31="Fail – Missing FOS",N31="Fail"),"Escalate","Needs Correction"))</f>
        <v/>
      </c>
      <c r="U31" s="16">
        <f>IFERROR(IF(G31&lt;&gt;"Pass","Insufficient learning objectives; ","")&amp;IF(AND(J31="Fail",D31="Group"),"Missing attendance checks; ","")&amp;IF(L31&lt;&gt;"Pass","Missing field of study; ","")&amp;IF(N31&lt;&gt;"Pass","Invalid program level; ","")&amp;IF(AND(P31="Fail",D31="Self-study"),"Insufficient review questions; ",""),"Check data")</f>
        <v/>
      </c>
    </row>
    <row r="32">
      <c r="A32" s="16">
        <f>Requests!A32</f>
        <v/>
      </c>
      <c r="B32" s="16">
        <f>Requests!B32</f>
        <v/>
      </c>
      <c r="C32" s="16">
        <f>Requests!F32</f>
        <v/>
      </c>
      <c r="D32" s="16">
        <f>Requests!E32</f>
        <v/>
      </c>
      <c r="E32" s="16">
        <f>Requests!I32</f>
        <v/>
      </c>
      <c r="F32" s="16">
        <f>ROUNDUP(C32/50*Rules!$C$5,0)</f>
        <v/>
      </c>
      <c r="G32" s="16">
        <f>IF(E32&gt;=F32,"Pass","Fail")</f>
        <v/>
      </c>
      <c r="H32" s="16">
        <f>Requests!J32</f>
        <v/>
      </c>
      <c r="I32" s="16">
        <f>IF(D32="Group",ROUNDUP(C32/50*Rules!$C$9,0),0)</f>
        <v/>
      </c>
      <c r="J32" s="16">
        <f>IF(D32="Self-study","N/A",IF(H32&gt;=I32,"Pass","Fail"))</f>
        <v/>
      </c>
      <c r="K32" s="16">
        <f>Requests!G32</f>
        <v/>
      </c>
      <c r="L32" s="16">
        <f>IF(K32&lt;&gt;"","Pass","Fail – Missing FOS")</f>
        <v/>
      </c>
      <c r="M32" s="16">
        <f>Requests!H32</f>
        <v/>
      </c>
      <c r="N32" s="16">
        <f>IF(OR(M32="Basic",M32="Intermediate",M32="Advanced"),"Pass","Fail")</f>
        <v/>
      </c>
      <c r="O32" s="16">
        <f>Requests!K32</f>
        <v/>
      </c>
      <c r="P32" s="16">
        <f>IF(D32="Self-study",IF(O32&gt;=ROUNDUP(Q32*Rules!$C$12,0),"Pass","Fail"),"N/A")</f>
        <v/>
      </c>
      <c r="Q32" s="17">
        <f>IF(C32&lt;25,0,FLOOR(C32/50,0.5))</f>
        <v/>
      </c>
      <c r="R32" s="17">
        <f>IF(C32&lt;50,0,ROUNDDOWN(C32/50*5,0)/5)</f>
        <v/>
      </c>
      <c r="S32" s="16">
        <f>IF(AND(Requests!O32&lt;&gt;"Approved",Requests!M32&lt;TODAY()),"Overdue",IF(Requests!M32-TODAY()&lt;=Rules!$C$26,"Due Soon","On Track"))</f>
        <v/>
      </c>
      <c r="T32" s="16">
        <f>IF(AND(G32="Pass",J32&lt;&gt;"Fail",L32="Pass",N32="Pass",P32&lt;&gt;"Fail"),"Approved",IF(OR(L32="Fail – Missing FOS",N32="Fail"),"Escalate","Needs Correction"))</f>
        <v/>
      </c>
      <c r="U32" s="16">
        <f>IFERROR(IF(G32&lt;&gt;"Pass","Insufficient learning objectives; ","")&amp;IF(AND(J32="Fail",D32="Group"),"Missing attendance checks; ","")&amp;IF(L32&lt;&gt;"Pass","Missing field of study; ","")&amp;IF(N32&lt;&gt;"Pass","Invalid program level; ","")&amp;IF(AND(P32="Fail",D32="Self-study"),"Insufficient review questions; ",""),"Check data")</f>
        <v/>
      </c>
    </row>
    <row r="33">
      <c r="A33" s="16">
        <f>Requests!A33</f>
        <v/>
      </c>
      <c r="B33" s="16">
        <f>Requests!B33</f>
        <v/>
      </c>
      <c r="C33" s="16">
        <f>Requests!F33</f>
        <v/>
      </c>
      <c r="D33" s="16">
        <f>Requests!E33</f>
        <v/>
      </c>
      <c r="E33" s="16">
        <f>Requests!I33</f>
        <v/>
      </c>
      <c r="F33" s="16">
        <f>ROUNDUP(C33/50*Rules!$C$5,0)</f>
        <v/>
      </c>
      <c r="G33" s="16">
        <f>IF(E33&gt;=F33,"Pass","Fail")</f>
        <v/>
      </c>
      <c r="H33" s="16">
        <f>Requests!J33</f>
        <v/>
      </c>
      <c r="I33" s="16">
        <f>IF(D33="Group",ROUNDUP(C33/50*Rules!$C$9,0),0)</f>
        <v/>
      </c>
      <c r="J33" s="16">
        <f>IF(D33="Self-study","N/A",IF(H33&gt;=I33,"Pass","Fail"))</f>
        <v/>
      </c>
      <c r="K33" s="16">
        <f>Requests!G33</f>
        <v/>
      </c>
      <c r="L33" s="16">
        <f>IF(K33&lt;&gt;"","Pass","Fail – Missing FOS")</f>
        <v/>
      </c>
      <c r="M33" s="16">
        <f>Requests!H33</f>
        <v/>
      </c>
      <c r="N33" s="16">
        <f>IF(OR(M33="Basic",M33="Intermediate",M33="Advanced"),"Pass","Fail")</f>
        <v/>
      </c>
      <c r="O33" s="16">
        <f>Requests!K33</f>
        <v/>
      </c>
      <c r="P33" s="16">
        <f>IF(D33="Self-study",IF(O33&gt;=ROUNDUP(Q33*Rules!$C$12,0),"Pass","Fail"),"N/A")</f>
        <v/>
      </c>
      <c r="Q33" s="17">
        <f>IF(C33&lt;25,0,FLOOR(C33/50,0.5))</f>
        <v/>
      </c>
      <c r="R33" s="17">
        <f>IF(C33&lt;50,0,ROUNDDOWN(C33/50*5,0)/5)</f>
        <v/>
      </c>
      <c r="S33" s="16">
        <f>IF(AND(Requests!O33&lt;&gt;"Approved",Requests!M33&lt;TODAY()),"Overdue",IF(Requests!M33-TODAY()&lt;=Rules!$C$26,"Due Soon","On Track"))</f>
        <v/>
      </c>
      <c r="T33" s="16">
        <f>IF(AND(G33="Pass",J33&lt;&gt;"Fail",L33="Pass",N33="Pass",P33&lt;&gt;"Fail"),"Approved",IF(OR(L33="Fail – Missing FOS",N33="Fail"),"Escalate","Needs Correction"))</f>
        <v/>
      </c>
      <c r="U33" s="16">
        <f>IFERROR(IF(G33&lt;&gt;"Pass","Insufficient learning objectives; ","")&amp;IF(AND(J33="Fail",D33="Group"),"Missing attendance checks; ","")&amp;IF(L33&lt;&gt;"Pass","Missing field of study; ","")&amp;IF(N33&lt;&gt;"Pass","Invalid program level; ","")&amp;IF(AND(P33="Fail",D33="Self-study"),"Insufficient review questions; ",""),"Check data")</f>
        <v/>
      </c>
    </row>
    <row r="34">
      <c r="A34" s="16">
        <f>Requests!A34</f>
        <v/>
      </c>
      <c r="B34" s="16">
        <f>Requests!B34</f>
        <v/>
      </c>
      <c r="C34" s="16">
        <f>Requests!F34</f>
        <v/>
      </c>
      <c r="D34" s="16">
        <f>Requests!E34</f>
        <v/>
      </c>
      <c r="E34" s="16">
        <f>Requests!I34</f>
        <v/>
      </c>
      <c r="F34" s="16">
        <f>ROUNDUP(C34/50*Rules!$C$5,0)</f>
        <v/>
      </c>
      <c r="G34" s="16">
        <f>IF(E34&gt;=F34,"Pass","Fail")</f>
        <v/>
      </c>
      <c r="H34" s="16">
        <f>Requests!J34</f>
        <v/>
      </c>
      <c r="I34" s="16">
        <f>IF(D34="Group",ROUNDUP(C34/50*Rules!$C$9,0),0)</f>
        <v/>
      </c>
      <c r="J34" s="16">
        <f>IF(D34="Self-study","N/A",IF(H34&gt;=I34,"Pass","Fail"))</f>
        <v/>
      </c>
      <c r="K34" s="16">
        <f>Requests!G34</f>
        <v/>
      </c>
      <c r="L34" s="16">
        <f>IF(K34&lt;&gt;"","Pass","Fail – Missing FOS")</f>
        <v/>
      </c>
      <c r="M34" s="16">
        <f>Requests!H34</f>
        <v/>
      </c>
      <c r="N34" s="16">
        <f>IF(OR(M34="Basic",M34="Intermediate",M34="Advanced"),"Pass","Fail")</f>
        <v/>
      </c>
      <c r="O34" s="16">
        <f>Requests!K34</f>
        <v/>
      </c>
      <c r="P34" s="16">
        <f>IF(D34="Self-study",IF(O34&gt;=ROUNDUP(Q34*Rules!$C$12,0),"Pass","Fail"),"N/A")</f>
        <v/>
      </c>
      <c r="Q34" s="17">
        <f>IF(C34&lt;25,0,FLOOR(C34/50,0.5))</f>
        <v/>
      </c>
      <c r="R34" s="17">
        <f>IF(C34&lt;50,0,ROUNDDOWN(C34/50*5,0)/5)</f>
        <v/>
      </c>
      <c r="S34" s="16">
        <f>IF(AND(Requests!O34&lt;&gt;"Approved",Requests!M34&lt;TODAY()),"Overdue",IF(Requests!M34-TODAY()&lt;=Rules!$C$26,"Due Soon","On Track"))</f>
        <v/>
      </c>
      <c r="T34" s="16">
        <f>IF(AND(G34="Pass",J34&lt;&gt;"Fail",L34="Pass",N34="Pass",P34&lt;&gt;"Fail"),"Approved",IF(OR(L34="Fail – Missing FOS",N34="Fail"),"Escalate","Needs Correction"))</f>
        <v/>
      </c>
      <c r="U34" s="16">
        <f>IFERROR(IF(G34&lt;&gt;"Pass","Insufficient learning objectives; ","")&amp;IF(AND(J34="Fail",D34="Group"),"Missing attendance checks; ","")&amp;IF(L34&lt;&gt;"Pass","Missing field of study; ","")&amp;IF(N34&lt;&gt;"Pass","Invalid program level; ","")&amp;IF(AND(P34="Fail",D34="Self-study"),"Insufficient review questions; ",""),"Check data")</f>
        <v/>
      </c>
    </row>
    <row r="35">
      <c r="A35" s="16">
        <f>Requests!A35</f>
        <v/>
      </c>
      <c r="B35" s="16">
        <f>Requests!B35</f>
        <v/>
      </c>
      <c r="C35" s="16">
        <f>Requests!F35</f>
        <v/>
      </c>
      <c r="D35" s="16">
        <f>Requests!E35</f>
        <v/>
      </c>
      <c r="E35" s="16">
        <f>Requests!I35</f>
        <v/>
      </c>
      <c r="F35" s="16">
        <f>ROUNDUP(C35/50*Rules!$C$5,0)</f>
        <v/>
      </c>
      <c r="G35" s="16">
        <f>IF(E35&gt;=F35,"Pass","Fail")</f>
        <v/>
      </c>
      <c r="H35" s="16">
        <f>Requests!J35</f>
        <v/>
      </c>
      <c r="I35" s="16">
        <f>IF(D35="Group",ROUNDUP(C35/50*Rules!$C$9,0),0)</f>
        <v/>
      </c>
      <c r="J35" s="16">
        <f>IF(D35="Self-study","N/A",IF(H35&gt;=I35,"Pass","Fail"))</f>
        <v/>
      </c>
      <c r="K35" s="16">
        <f>Requests!G35</f>
        <v/>
      </c>
      <c r="L35" s="16">
        <f>IF(K35&lt;&gt;"","Pass","Fail – Missing FOS")</f>
        <v/>
      </c>
      <c r="M35" s="16">
        <f>Requests!H35</f>
        <v/>
      </c>
      <c r="N35" s="16">
        <f>IF(OR(M35="Basic",M35="Intermediate",M35="Advanced"),"Pass","Fail")</f>
        <v/>
      </c>
      <c r="O35" s="16">
        <f>Requests!K35</f>
        <v/>
      </c>
      <c r="P35" s="16">
        <f>IF(D35="Self-study",IF(O35&gt;=ROUNDUP(Q35*Rules!$C$12,0),"Pass","Fail"),"N/A")</f>
        <v/>
      </c>
      <c r="Q35" s="17">
        <f>IF(C35&lt;25,0,FLOOR(C35/50,0.5))</f>
        <v/>
      </c>
      <c r="R35" s="17">
        <f>IF(C35&lt;50,0,ROUNDDOWN(C35/50*5,0)/5)</f>
        <v/>
      </c>
      <c r="S35" s="16">
        <f>IF(AND(Requests!O35&lt;&gt;"Approved",Requests!M35&lt;TODAY()),"Overdue",IF(Requests!M35-TODAY()&lt;=Rules!$C$26,"Due Soon","On Track"))</f>
        <v/>
      </c>
      <c r="T35" s="16">
        <f>IF(AND(G35="Pass",J35&lt;&gt;"Fail",L35="Pass",N35="Pass",P35&lt;&gt;"Fail"),"Approved",IF(OR(L35="Fail – Missing FOS",N35="Fail"),"Escalate","Needs Correction"))</f>
        <v/>
      </c>
      <c r="U35" s="16">
        <f>IFERROR(IF(G35&lt;&gt;"Pass","Insufficient learning objectives; ","")&amp;IF(AND(J35="Fail",D35="Group"),"Missing attendance checks; ","")&amp;IF(L35&lt;&gt;"Pass","Missing field of study; ","")&amp;IF(N35&lt;&gt;"Pass","Invalid program level; ","")&amp;IF(AND(P35="Fail",D35="Self-study"),"Insufficient review questions; ",""),"Check data")</f>
        <v/>
      </c>
    </row>
    <row r="36">
      <c r="A36" s="16">
        <f>Requests!A36</f>
        <v/>
      </c>
      <c r="B36" s="16">
        <f>Requests!B36</f>
        <v/>
      </c>
      <c r="C36" s="16">
        <f>Requests!F36</f>
        <v/>
      </c>
      <c r="D36" s="16">
        <f>Requests!E36</f>
        <v/>
      </c>
      <c r="E36" s="16">
        <f>Requests!I36</f>
        <v/>
      </c>
      <c r="F36" s="16">
        <f>ROUNDUP(C36/50*Rules!$C$5,0)</f>
        <v/>
      </c>
      <c r="G36" s="16">
        <f>IF(E36&gt;=F36,"Pass","Fail")</f>
        <v/>
      </c>
      <c r="H36" s="16">
        <f>Requests!J36</f>
        <v/>
      </c>
      <c r="I36" s="16">
        <f>IF(D36="Group",ROUNDUP(C36/50*Rules!$C$9,0),0)</f>
        <v/>
      </c>
      <c r="J36" s="16">
        <f>IF(D36="Self-study","N/A",IF(H36&gt;=I36,"Pass","Fail"))</f>
        <v/>
      </c>
      <c r="K36" s="16">
        <f>Requests!G36</f>
        <v/>
      </c>
      <c r="L36" s="16">
        <f>IF(K36&lt;&gt;"","Pass","Fail – Missing FOS")</f>
        <v/>
      </c>
      <c r="M36" s="16">
        <f>Requests!H36</f>
        <v/>
      </c>
      <c r="N36" s="16">
        <f>IF(OR(M36="Basic",M36="Intermediate",M36="Advanced"),"Pass","Fail")</f>
        <v/>
      </c>
      <c r="O36" s="16">
        <f>Requests!K36</f>
        <v/>
      </c>
      <c r="P36" s="16">
        <f>IF(D36="Self-study",IF(O36&gt;=ROUNDUP(Q36*Rules!$C$12,0),"Pass","Fail"),"N/A")</f>
        <v/>
      </c>
      <c r="Q36" s="17">
        <f>IF(C36&lt;25,0,FLOOR(C36/50,0.5))</f>
        <v/>
      </c>
      <c r="R36" s="17">
        <f>IF(C36&lt;50,0,ROUNDDOWN(C36/50*5,0)/5)</f>
        <v/>
      </c>
      <c r="S36" s="16">
        <f>IF(AND(Requests!O36&lt;&gt;"Approved",Requests!M36&lt;TODAY()),"Overdue",IF(Requests!M36-TODAY()&lt;=Rules!$C$26,"Due Soon","On Track"))</f>
        <v/>
      </c>
      <c r="T36" s="16">
        <f>IF(AND(G36="Pass",J36&lt;&gt;"Fail",L36="Pass",N36="Pass",P36&lt;&gt;"Fail"),"Approved",IF(OR(L36="Fail – Missing FOS",N36="Fail"),"Escalate","Needs Correction"))</f>
        <v/>
      </c>
      <c r="U36" s="16">
        <f>IFERROR(IF(G36&lt;&gt;"Pass","Insufficient learning objectives; ","")&amp;IF(AND(J36="Fail",D36="Group"),"Missing attendance checks; ","")&amp;IF(L36&lt;&gt;"Pass","Missing field of study; ","")&amp;IF(N36&lt;&gt;"Pass","Invalid program level; ","")&amp;IF(AND(P36="Fail",D36="Self-study"),"Insufficient review questions; ",""),"Check data")</f>
        <v/>
      </c>
    </row>
    <row r="37">
      <c r="A37" s="16">
        <f>Requests!A37</f>
        <v/>
      </c>
      <c r="B37" s="16">
        <f>Requests!B37</f>
        <v/>
      </c>
      <c r="C37" s="16">
        <f>Requests!F37</f>
        <v/>
      </c>
      <c r="D37" s="16">
        <f>Requests!E37</f>
        <v/>
      </c>
      <c r="E37" s="16">
        <f>Requests!I37</f>
        <v/>
      </c>
      <c r="F37" s="16">
        <f>ROUNDUP(C37/50*Rules!$C$5,0)</f>
        <v/>
      </c>
      <c r="G37" s="16">
        <f>IF(E37&gt;=F37,"Pass","Fail")</f>
        <v/>
      </c>
      <c r="H37" s="16">
        <f>Requests!J37</f>
        <v/>
      </c>
      <c r="I37" s="16">
        <f>IF(D37="Group",ROUNDUP(C37/50*Rules!$C$9,0),0)</f>
        <v/>
      </c>
      <c r="J37" s="16">
        <f>IF(D37="Self-study","N/A",IF(H37&gt;=I37,"Pass","Fail"))</f>
        <v/>
      </c>
      <c r="K37" s="16">
        <f>Requests!G37</f>
        <v/>
      </c>
      <c r="L37" s="16">
        <f>IF(K37&lt;&gt;"","Pass","Fail – Missing FOS")</f>
        <v/>
      </c>
      <c r="M37" s="16">
        <f>Requests!H37</f>
        <v/>
      </c>
      <c r="N37" s="16">
        <f>IF(OR(M37="Basic",M37="Intermediate",M37="Advanced"),"Pass","Fail")</f>
        <v/>
      </c>
      <c r="O37" s="16">
        <f>Requests!K37</f>
        <v/>
      </c>
      <c r="P37" s="16">
        <f>IF(D37="Self-study",IF(O37&gt;=ROUNDUP(Q37*Rules!$C$12,0),"Pass","Fail"),"N/A")</f>
        <v/>
      </c>
      <c r="Q37" s="17">
        <f>IF(C37&lt;25,0,FLOOR(C37/50,0.5))</f>
        <v/>
      </c>
      <c r="R37" s="17">
        <f>IF(C37&lt;50,0,ROUNDDOWN(C37/50*5,0)/5)</f>
        <v/>
      </c>
      <c r="S37" s="16">
        <f>IF(AND(Requests!O37&lt;&gt;"Approved",Requests!M37&lt;TODAY()),"Overdue",IF(Requests!M37-TODAY()&lt;=Rules!$C$26,"Due Soon","On Track"))</f>
        <v/>
      </c>
      <c r="T37" s="16">
        <f>IF(AND(G37="Pass",J37&lt;&gt;"Fail",L37="Pass",N37="Pass",P37&lt;&gt;"Fail"),"Approved",IF(OR(L37="Fail – Missing FOS",N37="Fail"),"Escalate","Needs Correction"))</f>
        <v/>
      </c>
      <c r="U37" s="16">
        <f>IFERROR(IF(G37&lt;&gt;"Pass","Insufficient learning objectives; ","")&amp;IF(AND(J37="Fail",D37="Group"),"Missing attendance checks; ","")&amp;IF(L37&lt;&gt;"Pass","Missing field of study; ","")&amp;IF(N37&lt;&gt;"Pass","Invalid program level; ","")&amp;IF(AND(P37="Fail",D37="Self-study"),"Insufficient review questions; ",""),"Check data")</f>
        <v/>
      </c>
    </row>
    <row r="38">
      <c r="A38" s="16">
        <f>Requests!A38</f>
        <v/>
      </c>
      <c r="B38" s="16">
        <f>Requests!B38</f>
        <v/>
      </c>
      <c r="C38" s="16">
        <f>Requests!F38</f>
        <v/>
      </c>
      <c r="D38" s="16">
        <f>Requests!E38</f>
        <v/>
      </c>
      <c r="E38" s="16">
        <f>Requests!I38</f>
        <v/>
      </c>
      <c r="F38" s="16">
        <f>ROUNDUP(C38/50*Rules!$C$5,0)</f>
        <v/>
      </c>
      <c r="G38" s="16">
        <f>IF(E38&gt;=F38,"Pass","Fail")</f>
        <v/>
      </c>
      <c r="H38" s="16">
        <f>Requests!J38</f>
        <v/>
      </c>
      <c r="I38" s="16">
        <f>IF(D38="Group",ROUNDUP(C38/50*Rules!$C$9,0),0)</f>
        <v/>
      </c>
      <c r="J38" s="16">
        <f>IF(D38="Self-study","N/A",IF(H38&gt;=I38,"Pass","Fail"))</f>
        <v/>
      </c>
      <c r="K38" s="16">
        <f>Requests!G38</f>
        <v/>
      </c>
      <c r="L38" s="16">
        <f>IF(K38&lt;&gt;"","Pass","Fail – Missing FOS")</f>
        <v/>
      </c>
      <c r="M38" s="16">
        <f>Requests!H38</f>
        <v/>
      </c>
      <c r="N38" s="16">
        <f>IF(OR(M38="Basic",M38="Intermediate",M38="Advanced"),"Pass","Fail")</f>
        <v/>
      </c>
      <c r="O38" s="16">
        <f>Requests!K38</f>
        <v/>
      </c>
      <c r="P38" s="16">
        <f>IF(D38="Self-study",IF(O38&gt;=ROUNDUP(Q38*Rules!$C$12,0),"Pass","Fail"),"N/A")</f>
        <v/>
      </c>
      <c r="Q38" s="17">
        <f>IF(C38&lt;25,0,FLOOR(C38/50,0.5))</f>
        <v/>
      </c>
      <c r="R38" s="17">
        <f>IF(C38&lt;50,0,ROUNDDOWN(C38/50*5,0)/5)</f>
        <v/>
      </c>
      <c r="S38" s="16">
        <f>IF(AND(Requests!O38&lt;&gt;"Approved",Requests!M38&lt;TODAY()),"Overdue",IF(Requests!M38-TODAY()&lt;=Rules!$C$26,"Due Soon","On Track"))</f>
        <v/>
      </c>
      <c r="T38" s="16">
        <f>IF(AND(G38="Pass",J38&lt;&gt;"Fail",L38="Pass",N38="Pass",P38&lt;&gt;"Fail"),"Approved",IF(OR(L38="Fail – Missing FOS",N38="Fail"),"Escalate","Needs Correction"))</f>
        <v/>
      </c>
      <c r="U38" s="16">
        <f>IFERROR(IF(G38&lt;&gt;"Pass","Insufficient learning objectives; ","")&amp;IF(AND(J38="Fail",D38="Group"),"Missing attendance checks; ","")&amp;IF(L38&lt;&gt;"Pass","Missing field of study; ","")&amp;IF(N38&lt;&gt;"Pass","Invalid program level; ","")&amp;IF(AND(P38="Fail",D38="Self-study"),"Insufficient review questions; ",""),"Check data")</f>
        <v/>
      </c>
    </row>
    <row r="39">
      <c r="A39" s="16">
        <f>Requests!A39</f>
        <v/>
      </c>
      <c r="B39" s="16">
        <f>Requests!B39</f>
        <v/>
      </c>
      <c r="C39" s="16">
        <f>Requests!F39</f>
        <v/>
      </c>
      <c r="D39" s="16">
        <f>Requests!E39</f>
        <v/>
      </c>
      <c r="E39" s="16">
        <f>Requests!I39</f>
        <v/>
      </c>
      <c r="F39" s="16">
        <f>ROUNDUP(C39/50*Rules!$C$5,0)</f>
        <v/>
      </c>
      <c r="G39" s="16">
        <f>IF(E39&gt;=F39,"Pass","Fail")</f>
        <v/>
      </c>
      <c r="H39" s="16">
        <f>Requests!J39</f>
        <v/>
      </c>
      <c r="I39" s="16">
        <f>IF(D39="Group",ROUNDUP(C39/50*Rules!$C$9,0),0)</f>
        <v/>
      </c>
      <c r="J39" s="16">
        <f>IF(D39="Self-study","N/A",IF(H39&gt;=I39,"Pass","Fail"))</f>
        <v/>
      </c>
      <c r="K39" s="16">
        <f>Requests!G39</f>
        <v/>
      </c>
      <c r="L39" s="16">
        <f>IF(K39&lt;&gt;"","Pass","Fail – Missing FOS")</f>
        <v/>
      </c>
      <c r="M39" s="16">
        <f>Requests!H39</f>
        <v/>
      </c>
      <c r="N39" s="16">
        <f>IF(OR(M39="Basic",M39="Intermediate",M39="Advanced"),"Pass","Fail")</f>
        <v/>
      </c>
      <c r="O39" s="16">
        <f>Requests!K39</f>
        <v/>
      </c>
      <c r="P39" s="16">
        <f>IF(D39="Self-study",IF(O39&gt;=ROUNDUP(Q39*Rules!$C$12,0),"Pass","Fail"),"N/A")</f>
        <v/>
      </c>
      <c r="Q39" s="17">
        <f>IF(C39&lt;25,0,FLOOR(C39/50,0.5))</f>
        <v/>
      </c>
      <c r="R39" s="17">
        <f>IF(C39&lt;50,0,ROUNDDOWN(C39/50*5,0)/5)</f>
        <v/>
      </c>
      <c r="S39" s="16">
        <f>IF(AND(Requests!O39&lt;&gt;"Approved",Requests!M39&lt;TODAY()),"Overdue",IF(Requests!M39-TODAY()&lt;=Rules!$C$26,"Due Soon","On Track"))</f>
        <v/>
      </c>
      <c r="T39" s="16">
        <f>IF(AND(G39="Pass",J39&lt;&gt;"Fail",L39="Pass",N39="Pass",P39&lt;&gt;"Fail"),"Approved",IF(OR(L39="Fail – Missing FOS",N39="Fail"),"Escalate","Needs Correction"))</f>
        <v/>
      </c>
      <c r="U39" s="16">
        <f>IFERROR(IF(G39&lt;&gt;"Pass","Insufficient learning objectives; ","")&amp;IF(AND(J39="Fail",D39="Group"),"Missing attendance checks; ","")&amp;IF(L39&lt;&gt;"Pass","Missing field of study; ","")&amp;IF(N39&lt;&gt;"Pass","Invalid program level; ","")&amp;IF(AND(P39="Fail",D39="Self-study"),"Insufficient review questions; ",""),"Check data")</f>
        <v/>
      </c>
    </row>
    <row r="40">
      <c r="A40" s="16">
        <f>Requests!A40</f>
        <v/>
      </c>
      <c r="B40" s="16">
        <f>Requests!B40</f>
        <v/>
      </c>
      <c r="C40" s="16">
        <f>Requests!F40</f>
        <v/>
      </c>
      <c r="D40" s="16">
        <f>Requests!E40</f>
        <v/>
      </c>
      <c r="E40" s="16">
        <f>Requests!I40</f>
        <v/>
      </c>
      <c r="F40" s="16">
        <f>ROUNDUP(C40/50*Rules!$C$5,0)</f>
        <v/>
      </c>
      <c r="G40" s="16">
        <f>IF(E40&gt;=F40,"Pass","Fail")</f>
        <v/>
      </c>
      <c r="H40" s="16">
        <f>Requests!J40</f>
        <v/>
      </c>
      <c r="I40" s="16">
        <f>IF(D40="Group",ROUNDUP(C40/50*Rules!$C$9,0),0)</f>
        <v/>
      </c>
      <c r="J40" s="16">
        <f>IF(D40="Self-study","N/A",IF(H40&gt;=I40,"Pass","Fail"))</f>
        <v/>
      </c>
      <c r="K40" s="16">
        <f>Requests!G40</f>
        <v/>
      </c>
      <c r="L40" s="16">
        <f>IF(K40&lt;&gt;"","Pass","Fail – Missing FOS")</f>
        <v/>
      </c>
      <c r="M40" s="16">
        <f>Requests!H40</f>
        <v/>
      </c>
      <c r="N40" s="16">
        <f>IF(OR(M40="Basic",M40="Intermediate",M40="Advanced"),"Pass","Fail")</f>
        <v/>
      </c>
      <c r="O40" s="16">
        <f>Requests!K40</f>
        <v/>
      </c>
      <c r="P40" s="16">
        <f>IF(D40="Self-study",IF(O40&gt;=ROUNDUP(Q40*Rules!$C$12,0),"Pass","Fail"),"N/A")</f>
        <v/>
      </c>
      <c r="Q40" s="17">
        <f>IF(C40&lt;25,0,FLOOR(C40/50,0.5))</f>
        <v/>
      </c>
      <c r="R40" s="17">
        <f>IF(C40&lt;50,0,ROUNDDOWN(C40/50*5,0)/5)</f>
        <v/>
      </c>
      <c r="S40" s="16">
        <f>IF(AND(Requests!O40&lt;&gt;"Approved",Requests!M40&lt;TODAY()),"Overdue",IF(Requests!M40-TODAY()&lt;=Rules!$C$26,"Due Soon","On Track"))</f>
        <v/>
      </c>
      <c r="T40" s="16">
        <f>IF(AND(G40="Pass",J40&lt;&gt;"Fail",L40="Pass",N40="Pass",P40&lt;&gt;"Fail"),"Approved",IF(OR(L40="Fail – Missing FOS",N40="Fail"),"Escalate","Needs Correction"))</f>
        <v/>
      </c>
      <c r="U40" s="16">
        <f>IFERROR(IF(G40&lt;&gt;"Pass","Insufficient learning objectives; ","")&amp;IF(AND(J40="Fail",D40="Group"),"Missing attendance checks; ","")&amp;IF(L40&lt;&gt;"Pass","Missing field of study; ","")&amp;IF(N40&lt;&gt;"Pass","Invalid program level; ","")&amp;IF(AND(P40="Fail",D40="Self-study"),"Insufficient review questions; ",""),"Check data")</f>
        <v/>
      </c>
    </row>
    <row r="41">
      <c r="A41" s="16">
        <f>Requests!A41</f>
        <v/>
      </c>
      <c r="B41" s="16">
        <f>Requests!B41</f>
        <v/>
      </c>
      <c r="C41" s="16">
        <f>Requests!F41</f>
        <v/>
      </c>
      <c r="D41" s="16">
        <f>Requests!E41</f>
        <v/>
      </c>
      <c r="E41" s="16">
        <f>Requests!I41</f>
        <v/>
      </c>
      <c r="F41" s="16">
        <f>ROUNDUP(C41/50*Rules!$C$5,0)</f>
        <v/>
      </c>
      <c r="G41" s="16">
        <f>IF(E41&gt;=F41,"Pass","Fail")</f>
        <v/>
      </c>
      <c r="H41" s="16">
        <f>Requests!J41</f>
        <v/>
      </c>
      <c r="I41" s="16">
        <f>IF(D41="Group",ROUNDUP(C41/50*Rules!$C$9,0),0)</f>
        <v/>
      </c>
      <c r="J41" s="16">
        <f>IF(D41="Self-study","N/A",IF(H41&gt;=I41,"Pass","Fail"))</f>
        <v/>
      </c>
      <c r="K41" s="16">
        <f>Requests!G41</f>
        <v/>
      </c>
      <c r="L41" s="16">
        <f>IF(K41&lt;&gt;"","Pass","Fail – Missing FOS")</f>
        <v/>
      </c>
      <c r="M41" s="16">
        <f>Requests!H41</f>
        <v/>
      </c>
      <c r="N41" s="16">
        <f>IF(OR(M41="Basic",M41="Intermediate",M41="Advanced"),"Pass","Fail")</f>
        <v/>
      </c>
      <c r="O41" s="16">
        <f>Requests!K41</f>
        <v/>
      </c>
      <c r="P41" s="16">
        <f>IF(D41="Self-study",IF(O41&gt;=ROUNDUP(Q41*Rules!$C$12,0),"Pass","Fail"),"N/A")</f>
        <v/>
      </c>
      <c r="Q41" s="17">
        <f>IF(C41&lt;25,0,FLOOR(C41/50,0.5))</f>
        <v/>
      </c>
      <c r="R41" s="17">
        <f>IF(C41&lt;50,0,ROUNDDOWN(C41/50*5,0)/5)</f>
        <v/>
      </c>
      <c r="S41" s="16">
        <f>IF(AND(Requests!O41&lt;&gt;"Approved",Requests!M41&lt;TODAY()),"Overdue",IF(Requests!M41-TODAY()&lt;=Rules!$C$26,"Due Soon","On Track"))</f>
        <v/>
      </c>
      <c r="T41" s="16">
        <f>IF(AND(G41="Pass",J41&lt;&gt;"Fail",L41="Pass",N41="Pass",P41&lt;&gt;"Fail"),"Approved",IF(OR(L41="Fail – Missing FOS",N41="Fail"),"Escalate","Needs Correction"))</f>
        <v/>
      </c>
      <c r="U41" s="16">
        <f>IFERROR(IF(G41&lt;&gt;"Pass","Insufficient learning objectives; ","")&amp;IF(AND(J41="Fail",D41="Group"),"Missing attendance checks; ","")&amp;IF(L41&lt;&gt;"Pass","Missing field of study; ","")&amp;IF(N41&lt;&gt;"Pass","Invalid program level; ","")&amp;IF(AND(P41="Fail",D41="Self-study"),"Insufficient review questions; ",""),"Check data")</f>
        <v/>
      </c>
    </row>
    <row r="42">
      <c r="A42" s="16">
        <f>Requests!A42</f>
        <v/>
      </c>
      <c r="B42" s="16">
        <f>Requests!B42</f>
        <v/>
      </c>
      <c r="C42" s="16">
        <f>Requests!F42</f>
        <v/>
      </c>
      <c r="D42" s="16">
        <f>Requests!E42</f>
        <v/>
      </c>
      <c r="E42" s="16">
        <f>Requests!I42</f>
        <v/>
      </c>
      <c r="F42" s="16">
        <f>ROUNDUP(C42/50*Rules!$C$5,0)</f>
        <v/>
      </c>
      <c r="G42" s="16">
        <f>IF(E42&gt;=F42,"Pass","Fail")</f>
        <v/>
      </c>
      <c r="H42" s="16">
        <f>Requests!J42</f>
        <v/>
      </c>
      <c r="I42" s="16">
        <f>IF(D42="Group",ROUNDUP(C42/50*Rules!$C$9,0),0)</f>
        <v/>
      </c>
      <c r="J42" s="16">
        <f>IF(D42="Self-study","N/A",IF(H42&gt;=I42,"Pass","Fail"))</f>
        <v/>
      </c>
      <c r="K42" s="16">
        <f>Requests!G42</f>
        <v/>
      </c>
      <c r="L42" s="16">
        <f>IF(K42&lt;&gt;"","Pass","Fail – Missing FOS")</f>
        <v/>
      </c>
      <c r="M42" s="16">
        <f>Requests!H42</f>
        <v/>
      </c>
      <c r="N42" s="16">
        <f>IF(OR(M42="Basic",M42="Intermediate",M42="Advanced"),"Pass","Fail")</f>
        <v/>
      </c>
      <c r="O42" s="16">
        <f>Requests!K42</f>
        <v/>
      </c>
      <c r="P42" s="16">
        <f>IF(D42="Self-study",IF(O42&gt;=ROUNDUP(Q42*Rules!$C$12,0),"Pass","Fail"),"N/A")</f>
        <v/>
      </c>
      <c r="Q42" s="17">
        <f>IF(C42&lt;25,0,FLOOR(C42/50,0.5))</f>
        <v/>
      </c>
      <c r="R42" s="17">
        <f>IF(C42&lt;50,0,ROUNDDOWN(C42/50*5,0)/5)</f>
        <v/>
      </c>
      <c r="S42" s="16">
        <f>IF(AND(Requests!O42&lt;&gt;"Approved",Requests!M42&lt;TODAY()),"Overdue",IF(Requests!M42-TODAY()&lt;=Rules!$C$26,"Due Soon","On Track"))</f>
        <v/>
      </c>
      <c r="T42" s="16">
        <f>IF(AND(G42="Pass",J42&lt;&gt;"Fail",L42="Pass",N42="Pass",P42&lt;&gt;"Fail"),"Approved",IF(OR(L42="Fail – Missing FOS",N42="Fail"),"Escalate","Needs Correction"))</f>
        <v/>
      </c>
      <c r="U42" s="16">
        <f>IFERROR(IF(G42&lt;&gt;"Pass","Insufficient learning objectives; ","")&amp;IF(AND(J42="Fail",D42="Group"),"Missing attendance checks; ","")&amp;IF(L42&lt;&gt;"Pass","Missing field of study; ","")&amp;IF(N42&lt;&gt;"Pass","Invalid program level; ","")&amp;IF(AND(P42="Fail",D42="Self-study"),"Insufficient review questions; ",""),"Check data")</f>
        <v/>
      </c>
    </row>
    <row r="43">
      <c r="A43" s="16">
        <f>Requests!A43</f>
        <v/>
      </c>
      <c r="B43" s="16">
        <f>Requests!B43</f>
        <v/>
      </c>
      <c r="C43" s="16">
        <f>Requests!F43</f>
        <v/>
      </c>
      <c r="D43" s="16">
        <f>Requests!E43</f>
        <v/>
      </c>
      <c r="E43" s="16">
        <f>Requests!I43</f>
        <v/>
      </c>
      <c r="F43" s="16">
        <f>ROUNDUP(C43/50*Rules!$C$5,0)</f>
        <v/>
      </c>
      <c r="G43" s="16">
        <f>IF(E43&gt;=F43,"Pass","Fail")</f>
        <v/>
      </c>
      <c r="H43" s="16">
        <f>Requests!J43</f>
        <v/>
      </c>
      <c r="I43" s="16">
        <f>IF(D43="Group",ROUNDUP(C43/50*Rules!$C$9,0),0)</f>
        <v/>
      </c>
      <c r="J43" s="16">
        <f>IF(D43="Self-study","N/A",IF(H43&gt;=I43,"Pass","Fail"))</f>
        <v/>
      </c>
      <c r="K43" s="16">
        <f>Requests!G43</f>
        <v/>
      </c>
      <c r="L43" s="16">
        <f>IF(K43&lt;&gt;"","Pass","Fail – Missing FOS")</f>
        <v/>
      </c>
      <c r="M43" s="16">
        <f>Requests!H43</f>
        <v/>
      </c>
      <c r="N43" s="16">
        <f>IF(OR(M43="Basic",M43="Intermediate",M43="Advanced"),"Pass","Fail")</f>
        <v/>
      </c>
      <c r="O43" s="16">
        <f>Requests!K43</f>
        <v/>
      </c>
      <c r="P43" s="16">
        <f>IF(D43="Self-study",IF(O43&gt;=ROUNDUP(Q43*Rules!$C$12,0),"Pass","Fail"),"N/A")</f>
        <v/>
      </c>
      <c r="Q43" s="17">
        <f>IF(C43&lt;25,0,FLOOR(C43/50,0.5))</f>
        <v/>
      </c>
      <c r="R43" s="17">
        <f>IF(C43&lt;50,0,ROUNDDOWN(C43/50*5,0)/5)</f>
        <v/>
      </c>
      <c r="S43" s="16">
        <f>IF(AND(Requests!O43&lt;&gt;"Approved",Requests!M43&lt;TODAY()),"Overdue",IF(Requests!M43-TODAY()&lt;=Rules!$C$26,"Due Soon","On Track"))</f>
        <v/>
      </c>
      <c r="T43" s="16">
        <f>IF(AND(G43="Pass",J43&lt;&gt;"Fail",L43="Pass",N43="Pass",P43&lt;&gt;"Fail"),"Approved",IF(OR(L43="Fail – Missing FOS",N43="Fail"),"Escalate","Needs Correction"))</f>
        <v/>
      </c>
      <c r="U43" s="16">
        <f>IFERROR(IF(G43&lt;&gt;"Pass","Insufficient learning objectives; ","")&amp;IF(AND(J43="Fail",D43="Group"),"Missing attendance checks; ","")&amp;IF(L43&lt;&gt;"Pass","Missing field of study; ","")&amp;IF(N43&lt;&gt;"Pass","Invalid program level; ","")&amp;IF(AND(P43="Fail",D43="Self-study"),"Insufficient review questions; ",""),"Check data")</f>
        <v/>
      </c>
    </row>
    <row r="44">
      <c r="A44" s="16">
        <f>Requests!A44</f>
        <v/>
      </c>
      <c r="B44" s="16">
        <f>Requests!B44</f>
        <v/>
      </c>
      <c r="C44" s="16">
        <f>Requests!F44</f>
        <v/>
      </c>
      <c r="D44" s="16">
        <f>Requests!E44</f>
        <v/>
      </c>
      <c r="E44" s="16">
        <f>Requests!I44</f>
        <v/>
      </c>
      <c r="F44" s="16">
        <f>ROUNDUP(C44/50*Rules!$C$5,0)</f>
        <v/>
      </c>
      <c r="G44" s="16">
        <f>IF(E44&gt;=F44,"Pass","Fail")</f>
        <v/>
      </c>
      <c r="H44" s="16">
        <f>Requests!J44</f>
        <v/>
      </c>
      <c r="I44" s="16">
        <f>IF(D44="Group",ROUNDUP(C44/50*Rules!$C$9,0),0)</f>
        <v/>
      </c>
      <c r="J44" s="16">
        <f>IF(D44="Self-study","N/A",IF(H44&gt;=I44,"Pass","Fail"))</f>
        <v/>
      </c>
      <c r="K44" s="16">
        <f>Requests!G44</f>
        <v/>
      </c>
      <c r="L44" s="16">
        <f>IF(K44&lt;&gt;"","Pass","Fail – Missing FOS")</f>
        <v/>
      </c>
      <c r="M44" s="16">
        <f>Requests!H44</f>
        <v/>
      </c>
      <c r="N44" s="16">
        <f>IF(OR(M44="Basic",M44="Intermediate",M44="Advanced"),"Pass","Fail")</f>
        <v/>
      </c>
      <c r="O44" s="16">
        <f>Requests!K44</f>
        <v/>
      </c>
      <c r="P44" s="16">
        <f>IF(D44="Self-study",IF(O44&gt;=ROUNDUP(Q44*Rules!$C$12,0),"Pass","Fail"),"N/A")</f>
        <v/>
      </c>
      <c r="Q44" s="17">
        <f>IF(C44&lt;25,0,FLOOR(C44/50,0.5))</f>
        <v/>
      </c>
      <c r="R44" s="17">
        <f>IF(C44&lt;50,0,ROUNDDOWN(C44/50*5,0)/5)</f>
        <v/>
      </c>
      <c r="S44" s="16">
        <f>IF(AND(Requests!O44&lt;&gt;"Approved",Requests!M44&lt;TODAY()),"Overdue",IF(Requests!M44-TODAY()&lt;=Rules!$C$26,"Due Soon","On Track"))</f>
        <v/>
      </c>
      <c r="T44" s="16">
        <f>IF(AND(G44="Pass",J44&lt;&gt;"Fail",L44="Pass",N44="Pass",P44&lt;&gt;"Fail"),"Approved",IF(OR(L44="Fail – Missing FOS",N44="Fail"),"Escalate","Needs Correction"))</f>
        <v/>
      </c>
      <c r="U44" s="16">
        <f>IFERROR(IF(G44&lt;&gt;"Pass","Insufficient learning objectives; ","")&amp;IF(AND(J44="Fail",D44="Group"),"Missing attendance checks; ","")&amp;IF(L44&lt;&gt;"Pass","Missing field of study; ","")&amp;IF(N44&lt;&gt;"Pass","Invalid program level; ","")&amp;IF(AND(P44="Fail",D44="Self-study"),"Insufficient review questions; ",""),"Check data")</f>
        <v/>
      </c>
    </row>
    <row r="45">
      <c r="A45" s="16">
        <f>Requests!A45</f>
        <v/>
      </c>
      <c r="B45" s="16">
        <f>Requests!B45</f>
        <v/>
      </c>
      <c r="C45" s="16">
        <f>Requests!F45</f>
        <v/>
      </c>
      <c r="D45" s="16">
        <f>Requests!E45</f>
        <v/>
      </c>
      <c r="E45" s="16">
        <f>Requests!I45</f>
        <v/>
      </c>
      <c r="F45" s="16">
        <f>ROUNDUP(C45/50*Rules!$C$5,0)</f>
        <v/>
      </c>
      <c r="G45" s="16">
        <f>IF(E45&gt;=F45,"Pass","Fail")</f>
        <v/>
      </c>
      <c r="H45" s="16">
        <f>Requests!J45</f>
        <v/>
      </c>
      <c r="I45" s="16">
        <f>IF(D45="Group",ROUNDUP(C45/50*Rules!$C$9,0),0)</f>
        <v/>
      </c>
      <c r="J45" s="16">
        <f>IF(D45="Self-study","N/A",IF(H45&gt;=I45,"Pass","Fail"))</f>
        <v/>
      </c>
      <c r="K45" s="16">
        <f>Requests!G45</f>
        <v/>
      </c>
      <c r="L45" s="16">
        <f>IF(K45&lt;&gt;"","Pass","Fail – Missing FOS")</f>
        <v/>
      </c>
      <c r="M45" s="16">
        <f>Requests!H45</f>
        <v/>
      </c>
      <c r="N45" s="16">
        <f>IF(OR(M45="Basic",M45="Intermediate",M45="Advanced"),"Pass","Fail")</f>
        <v/>
      </c>
      <c r="O45" s="16">
        <f>Requests!K45</f>
        <v/>
      </c>
      <c r="P45" s="16">
        <f>IF(D45="Self-study",IF(O45&gt;=ROUNDUP(Q45*Rules!$C$12,0),"Pass","Fail"),"N/A")</f>
        <v/>
      </c>
      <c r="Q45" s="17">
        <f>IF(C45&lt;25,0,FLOOR(C45/50,0.5))</f>
        <v/>
      </c>
      <c r="R45" s="17">
        <f>IF(C45&lt;50,0,ROUNDDOWN(C45/50*5,0)/5)</f>
        <v/>
      </c>
      <c r="S45" s="16">
        <f>IF(AND(Requests!O45&lt;&gt;"Approved",Requests!M45&lt;TODAY()),"Overdue",IF(Requests!M45-TODAY()&lt;=Rules!$C$26,"Due Soon","On Track"))</f>
        <v/>
      </c>
      <c r="T45" s="16">
        <f>IF(AND(G45="Pass",J45&lt;&gt;"Fail",L45="Pass",N45="Pass",P45&lt;&gt;"Fail"),"Approved",IF(OR(L45="Fail – Missing FOS",N45="Fail"),"Escalate","Needs Correction"))</f>
        <v/>
      </c>
      <c r="U45" s="16">
        <f>IFERROR(IF(G45&lt;&gt;"Pass","Insufficient learning objectives; ","")&amp;IF(AND(J45="Fail",D45="Group"),"Missing attendance checks; ","")&amp;IF(L45&lt;&gt;"Pass","Missing field of study; ","")&amp;IF(N45&lt;&gt;"Pass","Invalid program level; ","")&amp;IF(AND(P45="Fail",D45="Self-study"),"Insufficient review questions; ",""),"Check data")</f>
        <v/>
      </c>
    </row>
    <row r="46">
      <c r="A46" s="16">
        <f>Requests!A46</f>
        <v/>
      </c>
      <c r="B46" s="16">
        <f>Requests!B46</f>
        <v/>
      </c>
      <c r="C46" s="16">
        <f>Requests!F46</f>
        <v/>
      </c>
      <c r="D46" s="16">
        <f>Requests!E46</f>
        <v/>
      </c>
      <c r="E46" s="16">
        <f>Requests!I46</f>
        <v/>
      </c>
      <c r="F46" s="16">
        <f>ROUNDUP(C46/50*Rules!$C$5,0)</f>
        <v/>
      </c>
      <c r="G46" s="16">
        <f>IF(E46&gt;=F46,"Pass","Fail")</f>
        <v/>
      </c>
      <c r="H46" s="16">
        <f>Requests!J46</f>
        <v/>
      </c>
      <c r="I46" s="16">
        <f>IF(D46="Group",ROUNDUP(C46/50*Rules!$C$9,0),0)</f>
        <v/>
      </c>
      <c r="J46" s="16">
        <f>IF(D46="Self-study","N/A",IF(H46&gt;=I46,"Pass","Fail"))</f>
        <v/>
      </c>
      <c r="K46" s="16">
        <f>Requests!G46</f>
        <v/>
      </c>
      <c r="L46" s="16">
        <f>IF(K46&lt;&gt;"","Pass","Fail – Missing FOS")</f>
        <v/>
      </c>
      <c r="M46" s="16">
        <f>Requests!H46</f>
        <v/>
      </c>
      <c r="N46" s="16">
        <f>IF(OR(M46="Basic",M46="Intermediate",M46="Advanced"),"Pass","Fail")</f>
        <v/>
      </c>
      <c r="O46" s="16">
        <f>Requests!K46</f>
        <v/>
      </c>
      <c r="P46" s="16">
        <f>IF(D46="Self-study",IF(O46&gt;=ROUNDUP(Q46*Rules!$C$12,0),"Pass","Fail"),"N/A")</f>
        <v/>
      </c>
      <c r="Q46" s="17">
        <f>IF(C46&lt;25,0,FLOOR(C46/50,0.5))</f>
        <v/>
      </c>
      <c r="R46" s="17">
        <f>IF(C46&lt;50,0,ROUNDDOWN(C46/50*5,0)/5)</f>
        <v/>
      </c>
      <c r="S46" s="16">
        <f>IF(AND(Requests!O46&lt;&gt;"Approved",Requests!M46&lt;TODAY()),"Overdue",IF(Requests!M46-TODAY()&lt;=Rules!$C$26,"Due Soon","On Track"))</f>
        <v/>
      </c>
      <c r="T46" s="16">
        <f>IF(AND(G46="Pass",J46&lt;&gt;"Fail",L46="Pass",N46="Pass",P46&lt;&gt;"Fail"),"Approved",IF(OR(L46="Fail – Missing FOS",N46="Fail"),"Escalate","Needs Correction"))</f>
        <v/>
      </c>
      <c r="U46" s="16">
        <f>IFERROR(IF(G46&lt;&gt;"Pass","Insufficient learning objectives; ","")&amp;IF(AND(J46="Fail",D46="Group"),"Missing attendance checks; ","")&amp;IF(L46&lt;&gt;"Pass","Missing field of study; ","")&amp;IF(N46&lt;&gt;"Pass","Invalid program level; ","")&amp;IF(AND(P46="Fail",D46="Self-study"),"Insufficient review questions; ",""),"Check data")</f>
        <v/>
      </c>
    </row>
    <row r="47">
      <c r="A47" s="16">
        <f>Requests!A47</f>
        <v/>
      </c>
      <c r="B47" s="16">
        <f>Requests!B47</f>
        <v/>
      </c>
      <c r="C47" s="16">
        <f>Requests!F47</f>
        <v/>
      </c>
      <c r="D47" s="16">
        <f>Requests!E47</f>
        <v/>
      </c>
      <c r="E47" s="16">
        <f>Requests!I47</f>
        <v/>
      </c>
      <c r="F47" s="16">
        <f>ROUNDUP(C47/50*Rules!$C$5,0)</f>
        <v/>
      </c>
      <c r="G47" s="16">
        <f>IF(E47&gt;=F47,"Pass","Fail")</f>
        <v/>
      </c>
      <c r="H47" s="16">
        <f>Requests!J47</f>
        <v/>
      </c>
      <c r="I47" s="16">
        <f>IF(D47="Group",ROUNDUP(C47/50*Rules!$C$9,0),0)</f>
        <v/>
      </c>
      <c r="J47" s="16">
        <f>IF(D47="Self-study","N/A",IF(H47&gt;=I47,"Pass","Fail"))</f>
        <v/>
      </c>
      <c r="K47" s="16">
        <f>Requests!G47</f>
        <v/>
      </c>
      <c r="L47" s="16">
        <f>IF(K47&lt;&gt;"","Pass","Fail – Missing FOS")</f>
        <v/>
      </c>
      <c r="M47" s="16">
        <f>Requests!H47</f>
        <v/>
      </c>
      <c r="N47" s="16">
        <f>IF(OR(M47="Basic",M47="Intermediate",M47="Advanced"),"Pass","Fail")</f>
        <v/>
      </c>
      <c r="O47" s="16">
        <f>Requests!K47</f>
        <v/>
      </c>
      <c r="P47" s="16">
        <f>IF(D47="Self-study",IF(O47&gt;=ROUNDUP(Q47*Rules!$C$12,0),"Pass","Fail"),"N/A")</f>
        <v/>
      </c>
      <c r="Q47" s="17">
        <f>IF(C47&lt;25,0,FLOOR(C47/50,0.5))</f>
        <v/>
      </c>
      <c r="R47" s="17">
        <f>IF(C47&lt;50,0,ROUNDDOWN(C47/50*5,0)/5)</f>
        <v/>
      </c>
      <c r="S47" s="16">
        <f>IF(AND(Requests!O47&lt;&gt;"Approved",Requests!M47&lt;TODAY()),"Overdue",IF(Requests!M47-TODAY()&lt;=Rules!$C$26,"Due Soon","On Track"))</f>
        <v/>
      </c>
      <c r="T47" s="16">
        <f>IF(AND(G47="Pass",J47&lt;&gt;"Fail",L47="Pass",N47="Pass",P47&lt;&gt;"Fail"),"Approved",IF(OR(L47="Fail – Missing FOS",N47="Fail"),"Escalate","Needs Correction"))</f>
        <v/>
      </c>
      <c r="U47" s="16">
        <f>IFERROR(IF(G47&lt;&gt;"Pass","Insufficient learning objectives; ","")&amp;IF(AND(J47="Fail",D47="Group"),"Missing attendance checks; ","")&amp;IF(L47&lt;&gt;"Pass","Missing field of study; ","")&amp;IF(N47&lt;&gt;"Pass","Invalid program level; ","")&amp;IF(AND(P47="Fail",D47="Self-study"),"Insufficient review questions; ",""),"Check data")</f>
        <v/>
      </c>
    </row>
    <row r="48">
      <c r="A48" s="16">
        <f>Requests!A48</f>
        <v/>
      </c>
      <c r="B48" s="16">
        <f>Requests!B48</f>
        <v/>
      </c>
      <c r="C48" s="16">
        <f>Requests!F48</f>
        <v/>
      </c>
      <c r="D48" s="16">
        <f>Requests!E48</f>
        <v/>
      </c>
      <c r="E48" s="16">
        <f>Requests!I48</f>
        <v/>
      </c>
      <c r="F48" s="16">
        <f>ROUNDUP(C48/50*Rules!$C$5,0)</f>
        <v/>
      </c>
      <c r="G48" s="16">
        <f>IF(E48&gt;=F48,"Pass","Fail")</f>
        <v/>
      </c>
      <c r="H48" s="16">
        <f>Requests!J48</f>
        <v/>
      </c>
      <c r="I48" s="16">
        <f>IF(D48="Group",ROUNDUP(C48/50*Rules!$C$9,0),0)</f>
        <v/>
      </c>
      <c r="J48" s="16">
        <f>IF(D48="Self-study","N/A",IF(H48&gt;=I48,"Pass","Fail"))</f>
        <v/>
      </c>
      <c r="K48" s="16">
        <f>Requests!G48</f>
        <v/>
      </c>
      <c r="L48" s="16">
        <f>IF(K48&lt;&gt;"","Pass","Fail – Missing FOS")</f>
        <v/>
      </c>
      <c r="M48" s="16">
        <f>Requests!H48</f>
        <v/>
      </c>
      <c r="N48" s="16">
        <f>IF(OR(M48="Basic",M48="Intermediate",M48="Advanced"),"Pass","Fail")</f>
        <v/>
      </c>
      <c r="O48" s="16">
        <f>Requests!K48</f>
        <v/>
      </c>
      <c r="P48" s="16">
        <f>IF(D48="Self-study",IF(O48&gt;=ROUNDUP(Q48*Rules!$C$12,0),"Pass","Fail"),"N/A")</f>
        <v/>
      </c>
      <c r="Q48" s="17">
        <f>IF(C48&lt;25,0,FLOOR(C48/50,0.5))</f>
        <v/>
      </c>
      <c r="R48" s="17">
        <f>IF(C48&lt;50,0,ROUNDDOWN(C48/50*5,0)/5)</f>
        <v/>
      </c>
      <c r="S48" s="16">
        <f>IF(AND(Requests!O48&lt;&gt;"Approved",Requests!M48&lt;TODAY()),"Overdue",IF(Requests!M48-TODAY()&lt;=Rules!$C$26,"Due Soon","On Track"))</f>
        <v/>
      </c>
      <c r="T48" s="16">
        <f>IF(AND(G48="Pass",J48&lt;&gt;"Fail",L48="Pass",N48="Pass",P48&lt;&gt;"Fail"),"Approved",IF(OR(L48="Fail – Missing FOS",N48="Fail"),"Escalate","Needs Correction"))</f>
        <v/>
      </c>
      <c r="U48" s="16">
        <f>IFERROR(IF(G48&lt;&gt;"Pass","Insufficient learning objectives; ","")&amp;IF(AND(J48="Fail",D48="Group"),"Missing attendance checks; ","")&amp;IF(L48&lt;&gt;"Pass","Missing field of study; ","")&amp;IF(N48&lt;&gt;"Pass","Invalid program level; ","")&amp;IF(AND(P48="Fail",D48="Self-study"),"Insufficient review questions; ",""),"Check data")</f>
        <v/>
      </c>
    </row>
    <row r="49">
      <c r="A49" s="16">
        <f>Requests!A49</f>
        <v/>
      </c>
      <c r="B49" s="16">
        <f>Requests!B49</f>
        <v/>
      </c>
      <c r="C49" s="16">
        <f>Requests!F49</f>
        <v/>
      </c>
      <c r="D49" s="16">
        <f>Requests!E49</f>
        <v/>
      </c>
      <c r="E49" s="16">
        <f>Requests!I49</f>
        <v/>
      </c>
      <c r="F49" s="16">
        <f>ROUNDUP(C49/50*Rules!$C$5,0)</f>
        <v/>
      </c>
      <c r="G49" s="16">
        <f>IF(E49&gt;=F49,"Pass","Fail")</f>
        <v/>
      </c>
      <c r="H49" s="16">
        <f>Requests!J49</f>
        <v/>
      </c>
      <c r="I49" s="16">
        <f>IF(D49="Group",ROUNDUP(C49/50*Rules!$C$9,0),0)</f>
        <v/>
      </c>
      <c r="J49" s="16">
        <f>IF(D49="Self-study","N/A",IF(H49&gt;=I49,"Pass","Fail"))</f>
        <v/>
      </c>
      <c r="K49" s="16">
        <f>Requests!G49</f>
        <v/>
      </c>
      <c r="L49" s="16">
        <f>IF(K49&lt;&gt;"","Pass","Fail – Missing FOS")</f>
        <v/>
      </c>
      <c r="M49" s="16">
        <f>Requests!H49</f>
        <v/>
      </c>
      <c r="N49" s="16">
        <f>IF(OR(M49="Basic",M49="Intermediate",M49="Advanced"),"Pass","Fail")</f>
        <v/>
      </c>
      <c r="O49" s="16">
        <f>Requests!K49</f>
        <v/>
      </c>
      <c r="P49" s="16">
        <f>IF(D49="Self-study",IF(O49&gt;=ROUNDUP(Q49*Rules!$C$12,0),"Pass","Fail"),"N/A")</f>
        <v/>
      </c>
      <c r="Q49" s="17">
        <f>IF(C49&lt;25,0,FLOOR(C49/50,0.5))</f>
        <v/>
      </c>
      <c r="R49" s="17">
        <f>IF(C49&lt;50,0,ROUNDDOWN(C49/50*5,0)/5)</f>
        <v/>
      </c>
      <c r="S49" s="16">
        <f>IF(AND(Requests!O49&lt;&gt;"Approved",Requests!M49&lt;TODAY()),"Overdue",IF(Requests!M49-TODAY()&lt;=Rules!$C$26,"Due Soon","On Track"))</f>
        <v/>
      </c>
      <c r="T49" s="16">
        <f>IF(AND(G49="Pass",J49&lt;&gt;"Fail",L49="Pass",N49="Pass",P49&lt;&gt;"Fail"),"Approved",IF(OR(L49="Fail – Missing FOS",N49="Fail"),"Escalate","Needs Correction"))</f>
        <v/>
      </c>
      <c r="U49" s="16">
        <f>IFERROR(IF(G49&lt;&gt;"Pass","Insufficient learning objectives; ","")&amp;IF(AND(J49="Fail",D49="Group"),"Missing attendance checks; ","")&amp;IF(L49&lt;&gt;"Pass","Missing field of study; ","")&amp;IF(N49&lt;&gt;"Pass","Invalid program level; ","")&amp;IF(AND(P49="Fail",D49="Self-study"),"Insufficient review questions; ",""),"Check data")</f>
        <v/>
      </c>
    </row>
    <row r="50">
      <c r="A50" s="16">
        <f>Requests!A50</f>
        <v/>
      </c>
      <c r="B50" s="16">
        <f>Requests!B50</f>
        <v/>
      </c>
      <c r="C50" s="16">
        <f>Requests!F50</f>
        <v/>
      </c>
      <c r="D50" s="16">
        <f>Requests!E50</f>
        <v/>
      </c>
      <c r="E50" s="16">
        <f>Requests!I50</f>
        <v/>
      </c>
      <c r="F50" s="16">
        <f>ROUNDUP(C50/50*Rules!$C$5,0)</f>
        <v/>
      </c>
      <c r="G50" s="16">
        <f>IF(E50&gt;=F50,"Pass","Fail")</f>
        <v/>
      </c>
      <c r="H50" s="16">
        <f>Requests!J50</f>
        <v/>
      </c>
      <c r="I50" s="16">
        <f>IF(D50="Group",ROUNDUP(C50/50*Rules!$C$9,0),0)</f>
        <v/>
      </c>
      <c r="J50" s="16">
        <f>IF(D50="Self-study","N/A",IF(H50&gt;=I50,"Pass","Fail"))</f>
        <v/>
      </c>
      <c r="K50" s="16">
        <f>Requests!G50</f>
        <v/>
      </c>
      <c r="L50" s="16">
        <f>IF(K50&lt;&gt;"","Pass","Fail – Missing FOS")</f>
        <v/>
      </c>
      <c r="M50" s="16">
        <f>Requests!H50</f>
        <v/>
      </c>
      <c r="N50" s="16">
        <f>IF(OR(M50="Basic",M50="Intermediate",M50="Advanced"),"Pass","Fail")</f>
        <v/>
      </c>
      <c r="O50" s="16">
        <f>Requests!K50</f>
        <v/>
      </c>
      <c r="P50" s="16">
        <f>IF(D50="Self-study",IF(O50&gt;=ROUNDUP(Q50*Rules!$C$12,0),"Pass","Fail"),"N/A")</f>
        <v/>
      </c>
      <c r="Q50" s="17">
        <f>IF(C50&lt;25,0,FLOOR(C50/50,0.5))</f>
        <v/>
      </c>
      <c r="R50" s="17">
        <f>IF(C50&lt;50,0,ROUNDDOWN(C50/50*5,0)/5)</f>
        <v/>
      </c>
      <c r="S50" s="16">
        <f>IF(AND(Requests!O50&lt;&gt;"Approved",Requests!M50&lt;TODAY()),"Overdue",IF(Requests!M50-TODAY()&lt;=Rules!$C$26,"Due Soon","On Track"))</f>
        <v/>
      </c>
      <c r="T50" s="16">
        <f>IF(AND(G50="Pass",J50&lt;&gt;"Fail",L50="Pass",N50="Pass",P50&lt;&gt;"Fail"),"Approved",IF(OR(L50="Fail – Missing FOS",N50="Fail"),"Escalate","Needs Correction"))</f>
        <v/>
      </c>
      <c r="U50" s="16">
        <f>IFERROR(IF(G50&lt;&gt;"Pass","Insufficient learning objectives; ","")&amp;IF(AND(J50="Fail",D50="Group"),"Missing attendance checks; ","")&amp;IF(L50&lt;&gt;"Pass","Missing field of study; ","")&amp;IF(N50&lt;&gt;"Pass","Invalid program level; ","")&amp;IF(AND(P50="Fail",D50="Self-study"),"Insufficient review questions; ",""),"Check data")</f>
        <v/>
      </c>
    </row>
    <row r="51">
      <c r="A51" s="16">
        <f>Requests!A51</f>
        <v/>
      </c>
      <c r="B51" s="16">
        <f>Requests!B51</f>
        <v/>
      </c>
      <c r="C51" s="16">
        <f>Requests!F51</f>
        <v/>
      </c>
      <c r="D51" s="16">
        <f>Requests!E51</f>
        <v/>
      </c>
      <c r="E51" s="16">
        <f>Requests!I51</f>
        <v/>
      </c>
      <c r="F51" s="16">
        <f>ROUNDUP(C51/50*Rules!$C$5,0)</f>
        <v/>
      </c>
      <c r="G51" s="16">
        <f>IF(E51&gt;=F51,"Pass","Fail")</f>
        <v/>
      </c>
      <c r="H51" s="16">
        <f>Requests!J51</f>
        <v/>
      </c>
      <c r="I51" s="16">
        <f>IF(D51="Group",ROUNDUP(C51/50*Rules!$C$9,0),0)</f>
        <v/>
      </c>
      <c r="J51" s="16">
        <f>IF(D51="Self-study","N/A",IF(H51&gt;=I51,"Pass","Fail"))</f>
        <v/>
      </c>
      <c r="K51" s="16">
        <f>Requests!G51</f>
        <v/>
      </c>
      <c r="L51" s="16">
        <f>IF(K51&lt;&gt;"","Pass","Fail – Missing FOS")</f>
        <v/>
      </c>
      <c r="M51" s="16">
        <f>Requests!H51</f>
        <v/>
      </c>
      <c r="N51" s="16">
        <f>IF(OR(M51="Basic",M51="Intermediate",M51="Advanced"),"Pass","Fail")</f>
        <v/>
      </c>
      <c r="O51" s="16">
        <f>Requests!K51</f>
        <v/>
      </c>
      <c r="P51" s="16">
        <f>IF(D51="Self-study",IF(O51&gt;=ROUNDUP(Q51*Rules!$C$12,0),"Pass","Fail"),"N/A")</f>
        <v/>
      </c>
      <c r="Q51" s="17">
        <f>IF(C51&lt;25,0,FLOOR(C51/50,0.5))</f>
        <v/>
      </c>
      <c r="R51" s="17">
        <f>IF(C51&lt;50,0,ROUNDDOWN(C51/50*5,0)/5)</f>
        <v/>
      </c>
      <c r="S51" s="16">
        <f>IF(AND(Requests!O51&lt;&gt;"Approved",Requests!M51&lt;TODAY()),"Overdue",IF(Requests!M51-TODAY()&lt;=Rules!$C$26,"Due Soon","On Track"))</f>
        <v/>
      </c>
      <c r="T51" s="16">
        <f>IF(AND(G51="Pass",J51&lt;&gt;"Fail",L51="Pass",N51="Pass",P51&lt;&gt;"Fail"),"Approved",IF(OR(L51="Fail – Missing FOS",N51="Fail"),"Escalate","Needs Correction"))</f>
        <v/>
      </c>
      <c r="U51" s="16">
        <f>IFERROR(IF(G51&lt;&gt;"Pass","Insufficient learning objectives; ","")&amp;IF(AND(J51="Fail",D51="Group"),"Missing attendance checks; ","")&amp;IF(L51&lt;&gt;"Pass","Missing field of study; ","")&amp;IF(N51&lt;&gt;"Pass","Invalid program level; ","")&amp;IF(AND(P51="Fail",D51="Self-study"),"Insufficient review questions; ",""),"Check data")</f>
        <v/>
      </c>
    </row>
    <row r="52">
      <c r="A52" s="16">
        <f>Requests!A52</f>
        <v/>
      </c>
      <c r="B52" s="16">
        <f>Requests!B52</f>
        <v/>
      </c>
      <c r="C52" s="16">
        <f>Requests!F52</f>
        <v/>
      </c>
      <c r="D52" s="16">
        <f>Requests!E52</f>
        <v/>
      </c>
      <c r="E52" s="16">
        <f>Requests!I52</f>
        <v/>
      </c>
      <c r="F52" s="16">
        <f>ROUNDUP(C52/50*Rules!$C$5,0)</f>
        <v/>
      </c>
      <c r="G52" s="16">
        <f>IF(E52&gt;=F52,"Pass","Fail")</f>
        <v/>
      </c>
      <c r="H52" s="16">
        <f>Requests!J52</f>
        <v/>
      </c>
      <c r="I52" s="16">
        <f>IF(D52="Group",ROUNDUP(C52/50*Rules!$C$9,0),0)</f>
        <v/>
      </c>
      <c r="J52" s="16">
        <f>IF(D52="Self-study","N/A",IF(H52&gt;=I52,"Pass","Fail"))</f>
        <v/>
      </c>
      <c r="K52" s="16">
        <f>Requests!G52</f>
        <v/>
      </c>
      <c r="L52" s="16">
        <f>IF(K52&lt;&gt;"","Pass","Fail – Missing FOS")</f>
        <v/>
      </c>
      <c r="M52" s="16">
        <f>Requests!H52</f>
        <v/>
      </c>
      <c r="N52" s="16">
        <f>IF(OR(M52="Basic",M52="Intermediate",M52="Advanced"),"Pass","Fail")</f>
        <v/>
      </c>
      <c r="O52" s="16">
        <f>Requests!K52</f>
        <v/>
      </c>
      <c r="P52" s="16">
        <f>IF(D52="Self-study",IF(O52&gt;=ROUNDUP(Q52*Rules!$C$12,0),"Pass","Fail"),"N/A")</f>
        <v/>
      </c>
      <c r="Q52" s="17">
        <f>IF(C52&lt;25,0,FLOOR(C52/50,0.5))</f>
        <v/>
      </c>
      <c r="R52" s="17">
        <f>IF(C52&lt;50,0,ROUNDDOWN(C52/50*5,0)/5)</f>
        <v/>
      </c>
      <c r="S52" s="16">
        <f>IF(AND(Requests!O52&lt;&gt;"Approved",Requests!M52&lt;TODAY()),"Overdue",IF(Requests!M52-TODAY()&lt;=Rules!$C$26,"Due Soon","On Track"))</f>
        <v/>
      </c>
      <c r="T52" s="16">
        <f>IF(AND(G52="Pass",J52&lt;&gt;"Fail",L52="Pass",N52="Pass",P52&lt;&gt;"Fail"),"Approved",IF(OR(L52="Fail – Missing FOS",N52="Fail"),"Escalate","Needs Correction"))</f>
        <v/>
      </c>
      <c r="U52" s="16">
        <f>IFERROR(IF(G52&lt;&gt;"Pass","Insufficient learning objectives; ","")&amp;IF(AND(J52="Fail",D52="Group"),"Missing attendance checks; ","")&amp;IF(L52&lt;&gt;"Pass","Missing field of study; ","")&amp;IF(N52&lt;&gt;"Pass","Invalid program level; ","")&amp;IF(AND(P52="Fail",D52="Self-study"),"Insufficient review questions; ",""),"Check data")</f>
        <v/>
      </c>
    </row>
    <row r="53">
      <c r="A53" s="16">
        <f>Requests!A53</f>
        <v/>
      </c>
      <c r="B53" s="16">
        <f>Requests!B53</f>
        <v/>
      </c>
      <c r="C53" s="16">
        <f>Requests!F53</f>
        <v/>
      </c>
      <c r="D53" s="16">
        <f>Requests!E53</f>
        <v/>
      </c>
      <c r="E53" s="16">
        <f>Requests!I53</f>
        <v/>
      </c>
      <c r="F53" s="16">
        <f>ROUNDUP(C53/50*Rules!$C$5,0)</f>
        <v/>
      </c>
      <c r="G53" s="16">
        <f>IF(E53&gt;=F53,"Pass","Fail")</f>
        <v/>
      </c>
      <c r="H53" s="16">
        <f>Requests!J53</f>
        <v/>
      </c>
      <c r="I53" s="16">
        <f>IF(D53="Group",ROUNDUP(C53/50*Rules!$C$9,0),0)</f>
        <v/>
      </c>
      <c r="J53" s="16">
        <f>IF(D53="Self-study","N/A",IF(H53&gt;=I53,"Pass","Fail"))</f>
        <v/>
      </c>
      <c r="K53" s="16">
        <f>Requests!G53</f>
        <v/>
      </c>
      <c r="L53" s="16">
        <f>IF(K53&lt;&gt;"","Pass","Fail – Missing FOS")</f>
        <v/>
      </c>
      <c r="M53" s="16">
        <f>Requests!H53</f>
        <v/>
      </c>
      <c r="N53" s="16">
        <f>IF(OR(M53="Basic",M53="Intermediate",M53="Advanced"),"Pass","Fail")</f>
        <v/>
      </c>
      <c r="O53" s="16">
        <f>Requests!K53</f>
        <v/>
      </c>
      <c r="P53" s="16">
        <f>IF(D53="Self-study",IF(O53&gt;=ROUNDUP(Q53*Rules!$C$12,0),"Pass","Fail"),"N/A")</f>
        <v/>
      </c>
      <c r="Q53" s="17">
        <f>IF(C53&lt;25,0,FLOOR(C53/50,0.5))</f>
        <v/>
      </c>
      <c r="R53" s="17">
        <f>IF(C53&lt;50,0,ROUNDDOWN(C53/50*5,0)/5)</f>
        <v/>
      </c>
      <c r="S53" s="16">
        <f>IF(AND(Requests!O53&lt;&gt;"Approved",Requests!M53&lt;TODAY()),"Overdue",IF(Requests!M53-TODAY()&lt;=Rules!$C$26,"Due Soon","On Track"))</f>
        <v/>
      </c>
      <c r="T53" s="16">
        <f>IF(AND(G53="Pass",J53&lt;&gt;"Fail",L53="Pass",N53="Pass",P53&lt;&gt;"Fail"),"Approved",IF(OR(L53="Fail – Missing FOS",N53="Fail"),"Escalate","Needs Correction"))</f>
        <v/>
      </c>
      <c r="U53" s="16">
        <f>IFERROR(IF(G53&lt;&gt;"Pass","Insufficient learning objectives; ","")&amp;IF(AND(J53="Fail",D53="Group"),"Missing attendance checks; ","")&amp;IF(L53&lt;&gt;"Pass","Missing field of study; ","")&amp;IF(N53&lt;&gt;"Pass","Invalid program level; ","")&amp;IF(AND(P53="Fail",D53="Self-study"),"Insufficient review questions; ",""),"Check data")</f>
        <v/>
      </c>
    </row>
    <row r="54">
      <c r="A54" s="16">
        <f>Requests!A54</f>
        <v/>
      </c>
      <c r="B54" s="16">
        <f>Requests!B54</f>
        <v/>
      </c>
      <c r="C54" s="16">
        <f>Requests!F54</f>
        <v/>
      </c>
      <c r="D54" s="16">
        <f>Requests!E54</f>
        <v/>
      </c>
      <c r="E54" s="16">
        <f>Requests!I54</f>
        <v/>
      </c>
      <c r="F54" s="16">
        <f>ROUNDUP(C54/50*Rules!$C$5,0)</f>
        <v/>
      </c>
      <c r="G54" s="16">
        <f>IF(E54&gt;=F54,"Pass","Fail")</f>
        <v/>
      </c>
      <c r="H54" s="16">
        <f>Requests!J54</f>
        <v/>
      </c>
      <c r="I54" s="16">
        <f>IF(D54="Group",ROUNDUP(C54/50*Rules!$C$9,0),0)</f>
        <v/>
      </c>
      <c r="J54" s="16">
        <f>IF(D54="Self-study","N/A",IF(H54&gt;=I54,"Pass","Fail"))</f>
        <v/>
      </c>
      <c r="K54" s="16">
        <f>Requests!G54</f>
        <v/>
      </c>
      <c r="L54" s="16">
        <f>IF(K54&lt;&gt;"","Pass","Fail – Missing FOS")</f>
        <v/>
      </c>
      <c r="M54" s="16">
        <f>Requests!H54</f>
        <v/>
      </c>
      <c r="N54" s="16">
        <f>IF(OR(M54="Basic",M54="Intermediate",M54="Advanced"),"Pass","Fail")</f>
        <v/>
      </c>
      <c r="O54" s="16">
        <f>Requests!K54</f>
        <v/>
      </c>
      <c r="P54" s="16">
        <f>IF(D54="Self-study",IF(O54&gt;=ROUNDUP(Q54*Rules!$C$12,0),"Pass","Fail"),"N/A")</f>
        <v/>
      </c>
      <c r="Q54" s="17">
        <f>IF(C54&lt;25,0,FLOOR(C54/50,0.5))</f>
        <v/>
      </c>
      <c r="R54" s="17">
        <f>IF(C54&lt;50,0,ROUNDDOWN(C54/50*5,0)/5)</f>
        <v/>
      </c>
      <c r="S54" s="16">
        <f>IF(AND(Requests!O54&lt;&gt;"Approved",Requests!M54&lt;TODAY()),"Overdue",IF(Requests!M54-TODAY()&lt;=Rules!$C$26,"Due Soon","On Track"))</f>
        <v/>
      </c>
      <c r="T54" s="16">
        <f>IF(AND(G54="Pass",J54&lt;&gt;"Fail",L54="Pass",N54="Pass",P54&lt;&gt;"Fail"),"Approved",IF(OR(L54="Fail – Missing FOS",N54="Fail"),"Escalate","Needs Correction"))</f>
        <v/>
      </c>
      <c r="U54" s="16">
        <f>IFERROR(IF(G54&lt;&gt;"Pass","Insufficient learning objectives; ","")&amp;IF(AND(J54="Fail",D54="Group"),"Missing attendance checks; ","")&amp;IF(L54&lt;&gt;"Pass","Missing field of study; ","")&amp;IF(N54&lt;&gt;"Pass","Invalid program level; ","")&amp;IF(AND(P54="Fail",D54="Self-study"),"Insufficient review questions; ",""),"Check data")</f>
        <v/>
      </c>
    </row>
    <row r="55">
      <c r="A55" s="16">
        <f>Requests!A55</f>
        <v/>
      </c>
      <c r="B55" s="16">
        <f>Requests!B55</f>
        <v/>
      </c>
      <c r="C55" s="16">
        <f>Requests!F55</f>
        <v/>
      </c>
      <c r="D55" s="16">
        <f>Requests!E55</f>
        <v/>
      </c>
      <c r="E55" s="16">
        <f>Requests!I55</f>
        <v/>
      </c>
      <c r="F55" s="16">
        <f>ROUNDUP(C55/50*Rules!$C$5,0)</f>
        <v/>
      </c>
      <c r="G55" s="16">
        <f>IF(E55&gt;=F55,"Pass","Fail")</f>
        <v/>
      </c>
      <c r="H55" s="16">
        <f>Requests!J55</f>
        <v/>
      </c>
      <c r="I55" s="16">
        <f>IF(D55="Group",ROUNDUP(C55/50*Rules!$C$9,0),0)</f>
        <v/>
      </c>
      <c r="J55" s="16">
        <f>IF(D55="Self-study","N/A",IF(H55&gt;=I55,"Pass","Fail"))</f>
        <v/>
      </c>
      <c r="K55" s="16">
        <f>Requests!G55</f>
        <v/>
      </c>
      <c r="L55" s="16">
        <f>IF(K55&lt;&gt;"","Pass","Fail – Missing FOS")</f>
        <v/>
      </c>
      <c r="M55" s="16">
        <f>Requests!H55</f>
        <v/>
      </c>
      <c r="N55" s="16">
        <f>IF(OR(M55="Basic",M55="Intermediate",M55="Advanced"),"Pass","Fail")</f>
        <v/>
      </c>
      <c r="O55" s="16">
        <f>Requests!K55</f>
        <v/>
      </c>
      <c r="P55" s="16">
        <f>IF(D55="Self-study",IF(O55&gt;=ROUNDUP(Q55*Rules!$C$12,0),"Pass","Fail"),"N/A")</f>
        <v/>
      </c>
      <c r="Q55" s="17">
        <f>IF(C55&lt;25,0,FLOOR(C55/50,0.5))</f>
        <v/>
      </c>
      <c r="R55" s="17">
        <f>IF(C55&lt;50,0,ROUNDDOWN(C55/50*5,0)/5)</f>
        <v/>
      </c>
      <c r="S55" s="16">
        <f>IF(AND(Requests!O55&lt;&gt;"Approved",Requests!M55&lt;TODAY()),"Overdue",IF(Requests!M55-TODAY()&lt;=Rules!$C$26,"Due Soon","On Track"))</f>
        <v/>
      </c>
      <c r="T55" s="16">
        <f>IF(AND(G55="Pass",J55&lt;&gt;"Fail",L55="Pass",N55="Pass",P55&lt;&gt;"Fail"),"Approved",IF(OR(L55="Fail – Missing FOS",N55="Fail"),"Escalate","Needs Correction"))</f>
        <v/>
      </c>
      <c r="U55" s="16">
        <f>IFERROR(IF(G55&lt;&gt;"Pass","Insufficient learning objectives; ","")&amp;IF(AND(J55="Fail",D55="Group"),"Missing attendance checks; ","")&amp;IF(L55&lt;&gt;"Pass","Missing field of study; ","")&amp;IF(N55&lt;&gt;"Pass","Invalid program level; ","")&amp;IF(AND(P55="Fail",D55="Self-study"),"Insufficient review questions; ",""),"Check data")</f>
        <v/>
      </c>
    </row>
    <row r="56">
      <c r="A56" s="16">
        <f>Requests!A56</f>
        <v/>
      </c>
      <c r="B56" s="16">
        <f>Requests!B56</f>
        <v/>
      </c>
      <c r="C56" s="16">
        <f>Requests!F56</f>
        <v/>
      </c>
      <c r="D56" s="16">
        <f>Requests!E56</f>
        <v/>
      </c>
      <c r="E56" s="16">
        <f>Requests!I56</f>
        <v/>
      </c>
      <c r="F56" s="16">
        <f>ROUNDUP(C56/50*Rules!$C$5,0)</f>
        <v/>
      </c>
      <c r="G56" s="16">
        <f>IF(E56&gt;=F56,"Pass","Fail")</f>
        <v/>
      </c>
      <c r="H56" s="16">
        <f>Requests!J56</f>
        <v/>
      </c>
      <c r="I56" s="16">
        <f>IF(D56="Group",ROUNDUP(C56/50*Rules!$C$9,0),0)</f>
        <v/>
      </c>
      <c r="J56" s="16">
        <f>IF(D56="Self-study","N/A",IF(H56&gt;=I56,"Pass","Fail"))</f>
        <v/>
      </c>
      <c r="K56" s="16">
        <f>Requests!G56</f>
        <v/>
      </c>
      <c r="L56" s="16">
        <f>IF(K56&lt;&gt;"","Pass","Fail – Missing FOS")</f>
        <v/>
      </c>
      <c r="M56" s="16">
        <f>Requests!H56</f>
        <v/>
      </c>
      <c r="N56" s="16">
        <f>IF(OR(M56="Basic",M56="Intermediate",M56="Advanced"),"Pass","Fail")</f>
        <v/>
      </c>
      <c r="O56" s="16">
        <f>Requests!K56</f>
        <v/>
      </c>
      <c r="P56" s="16">
        <f>IF(D56="Self-study",IF(O56&gt;=ROUNDUP(Q56*Rules!$C$12,0),"Pass","Fail"),"N/A")</f>
        <v/>
      </c>
      <c r="Q56" s="17">
        <f>IF(C56&lt;25,0,FLOOR(C56/50,0.5))</f>
        <v/>
      </c>
      <c r="R56" s="17">
        <f>IF(C56&lt;50,0,ROUNDDOWN(C56/50*5,0)/5)</f>
        <v/>
      </c>
      <c r="S56" s="16">
        <f>IF(AND(Requests!O56&lt;&gt;"Approved",Requests!M56&lt;TODAY()),"Overdue",IF(Requests!M56-TODAY()&lt;=Rules!$C$26,"Due Soon","On Track"))</f>
        <v/>
      </c>
      <c r="T56" s="16">
        <f>IF(AND(G56="Pass",J56&lt;&gt;"Fail",L56="Pass",N56="Pass",P56&lt;&gt;"Fail"),"Approved",IF(OR(L56="Fail – Missing FOS",N56="Fail"),"Escalate","Needs Correction"))</f>
        <v/>
      </c>
      <c r="U56" s="16">
        <f>IFERROR(IF(G56&lt;&gt;"Pass","Insufficient learning objectives; ","")&amp;IF(AND(J56="Fail",D56="Group"),"Missing attendance checks; ","")&amp;IF(L56&lt;&gt;"Pass","Missing field of study; ","")&amp;IF(N56&lt;&gt;"Pass","Invalid program level; ","")&amp;IF(AND(P56="Fail",D56="Self-study"),"Insufficient review questions; ",""),"Check data")</f>
        <v/>
      </c>
    </row>
    <row r="57">
      <c r="A57" s="16">
        <f>Requests!A57</f>
        <v/>
      </c>
      <c r="B57" s="16">
        <f>Requests!B57</f>
        <v/>
      </c>
      <c r="C57" s="16">
        <f>Requests!F57</f>
        <v/>
      </c>
      <c r="D57" s="16">
        <f>Requests!E57</f>
        <v/>
      </c>
      <c r="E57" s="16">
        <f>Requests!I57</f>
        <v/>
      </c>
      <c r="F57" s="16">
        <f>ROUNDUP(C57/50*Rules!$C$5,0)</f>
        <v/>
      </c>
      <c r="G57" s="16">
        <f>IF(E57&gt;=F57,"Pass","Fail")</f>
        <v/>
      </c>
      <c r="H57" s="16">
        <f>Requests!J57</f>
        <v/>
      </c>
      <c r="I57" s="16">
        <f>IF(D57="Group",ROUNDUP(C57/50*Rules!$C$9,0),0)</f>
        <v/>
      </c>
      <c r="J57" s="16">
        <f>IF(D57="Self-study","N/A",IF(H57&gt;=I57,"Pass","Fail"))</f>
        <v/>
      </c>
      <c r="K57" s="16">
        <f>Requests!G57</f>
        <v/>
      </c>
      <c r="L57" s="16">
        <f>IF(K57&lt;&gt;"","Pass","Fail – Missing FOS")</f>
        <v/>
      </c>
      <c r="M57" s="16">
        <f>Requests!H57</f>
        <v/>
      </c>
      <c r="N57" s="16">
        <f>IF(OR(M57="Basic",M57="Intermediate",M57="Advanced"),"Pass","Fail")</f>
        <v/>
      </c>
      <c r="O57" s="16">
        <f>Requests!K57</f>
        <v/>
      </c>
      <c r="P57" s="16">
        <f>IF(D57="Self-study",IF(O57&gt;=ROUNDUP(Q57*Rules!$C$12,0),"Pass","Fail"),"N/A")</f>
        <v/>
      </c>
      <c r="Q57" s="17">
        <f>IF(C57&lt;25,0,FLOOR(C57/50,0.5))</f>
        <v/>
      </c>
      <c r="R57" s="17">
        <f>IF(C57&lt;50,0,ROUNDDOWN(C57/50*5,0)/5)</f>
        <v/>
      </c>
      <c r="S57" s="16">
        <f>IF(AND(Requests!O57&lt;&gt;"Approved",Requests!M57&lt;TODAY()),"Overdue",IF(Requests!M57-TODAY()&lt;=Rules!$C$26,"Due Soon","On Track"))</f>
        <v/>
      </c>
      <c r="T57" s="16">
        <f>IF(AND(G57="Pass",J57&lt;&gt;"Fail",L57="Pass",N57="Pass",P57&lt;&gt;"Fail"),"Approved",IF(OR(L57="Fail – Missing FOS",N57="Fail"),"Escalate","Needs Correction"))</f>
        <v/>
      </c>
      <c r="U57" s="16">
        <f>IFERROR(IF(G57&lt;&gt;"Pass","Insufficient learning objectives; ","")&amp;IF(AND(J57="Fail",D57="Group"),"Missing attendance checks; ","")&amp;IF(L57&lt;&gt;"Pass","Missing field of study; ","")&amp;IF(N57&lt;&gt;"Pass","Invalid program level; ","")&amp;IF(AND(P57="Fail",D57="Self-study"),"Insufficient review questions; ",""),"Check data")</f>
        <v/>
      </c>
    </row>
    <row r="58">
      <c r="A58" s="16">
        <f>Requests!A58</f>
        <v/>
      </c>
      <c r="B58" s="16">
        <f>Requests!B58</f>
        <v/>
      </c>
      <c r="C58" s="16">
        <f>Requests!F58</f>
        <v/>
      </c>
      <c r="D58" s="16">
        <f>Requests!E58</f>
        <v/>
      </c>
      <c r="E58" s="16">
        <f>Requests!I58</f>
        <v/>
      </c>
      <c r="F58" s="16">
        <f>ROUNDUP(C58/50*Rules!$C$5,0)</f>
        <v/>
      </c>
      <c r="G58" s="16">
        <f>IF(E58&gt;=F58,"Pass","Fail")</f>
        <v/>
      </c>
      <c r="H58" s="16">
        <f>Requests!J58</f>
        <v/>
      </c>
      <c r="I58" s="16">
        <f>IF(D58="Group",ROUNDUP(C58/50*Rules!$C$9,0),0)</f>
        <v/>
      </c>
      <c r="J58" s="16">
        <f>IF(D58="Self-study","N/A",IF(H58&gt;=I58,"Pass","Fail"))</f>
        <v/>
      </c>
      <c r="K58" s="16">
        <f>Requests!G58</f>
        <v/>
      </c>
      <c r="L58" s="16">
        <f>IF(K58&lt;&gt;"","Pass","Fail – Missing FOS")</f>
        <v/>
      </c>
      <c r="M58" s="16">
        <f>Requests!H58</f>
        <v/>
      </c>
      <c r="N58" s="16">
        <f>IF(OR(M58="Basic",M58="Intermediate",M58="Advanced"),"Pass","Fail")</f>
        <v/>
      </c>
      <c r="O58" s="16">
        <f>Requests!K58</f>
        <v/>
      </c>
      <c r="P58" s="16">
        <f>IF(D58="Self-study",IF(O58&gt;=ROUNDUP(Q58*Rules!$C$12,0),"Pass","Fail"),"N/A")</f>
        <v/>
      </c>
      <c r="Q58" s="17">
        <f>IF(C58&lt;25,0,FLOOR(C58/50,0.5))</f>
        <v/>
      </c>
      <c r="R58" s="17">
        <f>IF(C58&lt;50,0,ROUNDDOWN(C58/50*5,0)/5)</f>
        <v/>
      </c>
      <c r="S58" s="16">
        <f>IF(AND(Requests!O58&lt;&gt;"Approved",Requests!M58&lt;TODAY()),"Overdue",IF(Requests!M58-TODAY()&lt;=Rules!$C$26,"Due Soon","On Track"))</f>
        <v/>
      </c>
      <c r="T58" s="16">
        <f>IF(AND(G58="Pass",J58&lt;&gt;"Fail",L58="Pass",N58="Pass",P58&lt;&gt;"Fail"),"Approved",IF(OR(L58="Fail – Missing FOS",N58="Fail"),"Escalate","Needs Correction"))</f>
        <v/>
      </c>
      <c r="U58" s="16">
        <f>IFERROR(IF(G58&lt;&gt;"Pass","Insufficient learning objectives; ","")&amp;IF(AND(J58="Fail",D58="Group"),"Missing attendance checks; ","")&amp;IF(L58&lt;&gt;"Pass","Missing field of study; ","")&amp;IF(N58&lt;&gt;"Pass","Invalid program level; ","")&amp;IF(AND(P58="Fail",D58="Self-study"),"Insufficient review questions; ",""),"Check data")</f>
        <v/>
      </c>
    </row>
    <row r="59">
      <c r="A59" s="16">
        <f>Requests!A59</f>
        <v/>
      </c>
      <c r="B59" s="16">
        <f>Requests!B59</f>
        <v/>
      </c>
      <c r="C59" s="16">
        <f>Requests!F59</f>
        <v/>
      </c>
      <c r="D59" s="16">
        <f>Requests!E59</f>
        <v/>
      </c>
      <c r="E59" s="16">
        <f>Requests!I59</f>
        <v/>
      </c>
      <c r="F59" s="16">
        <f>ROUNDUP(C59/50*Rules!$C$5,0)</f>
        <v/>
      </c>
      <c r="G59" s="16">
        <f>IF(E59&gt;=F59,"Pass","Fail")</f>
        <v/>
      </c>
      <c r="H59" s="16">
        <f>Requests!J59</f>
        <v/>
      </c>
      <c r="I59" s="16">
        <f>IF(D59="Group",ROUNDUP(C59/50*Rules!$C$9,0),0)</f>
        <v/>
      </c>
      <c r="J59" s="16">
        <f>IF(D59="Self-study","N/A",IF(H59&gt;=I59,"Pass","Fail"))</f>
        <v/>
      </c>
      <c r="K59" s="16">
        <f>Requests!G59</f>
        <v/>
      </c>
      <c r="L59" s="16">
        <f>IF(K59&lt;&gt;"","Pass","Fail – Missing FOS")</f>
        <v/>
      </c>
      <c r="M59" s="16">
        <f>Requests!H59</f>
        <v/>
      </c>
      <c r="N59" s="16">
        <f>IF(OR(M59="Basic",M59="Intermediate",M59="Advanced"),"Pass","Fail")</f>
        <v/>
      </c>
      <c r="O59" s="16">
        <f>Requests!K59</f>
        <v/>
      </c>
      <c r="P59" s="16">
        <f>IF(D59="Self-study",IF(O59&gt;=ROUNDUP(Q59*Rules!$C$12,0),"Pass","Fail"),"N/A")</f>
        <v/>
      </c>
      <c r="Q59" s="17">
        <f>IF(C59&lt;25,0,FLOOR(C59/50,0.5))</f>
        <v/>
      </c>
      <c r="R59" s="17">
        <f>IF(C59&lt;50,0,ROUNDDOWN(C59/50*5,0)/5)</f>
        <v/>
      </c>
      <c r="S59" s="16">
        <f>IF(AND(Requests!O59&lt;&gt;"Approved",Requests!M59&lt;TODAY()),"Overdue",IF(Requests!M59-TODAY()&lt;=Rules!$C$26,"Due Soon","On Track"))</f>
        <v/>
      </c>
      <c r="T59" s="16">
        <f>IF(AND(G59="Pass",J59&lt;&gt;"Fail",L59="Pass",N59="Pass",P59&lt;&gt;"Fail"),"Approved",IF(OR(L59="Fail – Missing FOS",N59="Fail"),"Escalate","Needs Correction"))</f>
        <v/>
      </c>
      <c r="U59" s="16">
        <f>IFERROR(IF(G59&lt;&gt;"Pass","Insufficient learning objectives; ","")&amp;IF(AND(J59="Fail",D59="Group"),"Missing attendance checks; ","")&amp;IF(L59&lt;&gt;"Pass","Missing field of study; ","")&amp;IF(N59&lt;&gt;"Pass","Invalid program level; ","")&amp;IF(AND(P59="Fail",D59="Self-study"),"Insufficient review questions; ",""),"Check data")</f>
        <v/>
      </c>
    </row>
    <row r="60">
      <c r="A60" s="16">
        <f>Requests!A60</f>
        <v/>
      </c>
      <c r="B60" s="16">
        <f>Requests!B60</f>
        <v/>
      </c>
      <c r="C60" s="16">
        <f>Requests!F60</f>
        <v/>
      </c>
      <c r="D60" s="16">
        <f>Requests!E60</f>
        <v/>
      </c>
      <c r="E60" s="16">
        <f>Requests!I60</f>
        <v/>
      </c>
      <c r="F60" s="16">
        <f>ROUNDUP(C60/50*Rules!$C$5,0)</f>
        <v/>
      </c>
      <c r="G60" s="16">
        <f>IF(E60&gt;=F60,"Pass","Fail")</f>
        <v/>
      </c>
      <c r="H60" s="16">
        <f>Requests!J60</f>
        <v/>
      </c>
      <c r="I60" s="16">
        <f>IF(D60="Group",ROUNDUP(C60/50*Rules!$C$9,0),0)</f>
        <v/>
      </c>
      <c r="J60" s="16">
        <f>IF(D60="Self-study","N/A",IF(H60&gt;=I60,"Pass","Fail"))</f>
        <v/>
      </c>
      <c r="K60" s="16">
        <f>Requests!G60</f>
        <v/>
      </c>
      <c r="L60" s="16">
        <f>IF(K60&lt;&gt;"","Pass","Fail – Missing FOS")</f>
        <v/>
      </c>
      <c r="M60" s="16">
        <f>Requests!H60</f>
        <v/>
      </c>
      <c r="N60" s="16">
        <f>IF(OR(M60="Basic",M60="Intermediate",M60="Advanced"),"Pass","Fail")</f>
        <v/>
      </c>
      <c r="O60" s="16">
        <f>Requests!K60</f>
        <v/>
      </c>
      <c r="P60" s="16">
        <f>IF(D60="Self-study",IF(O60&gt;=ROUNDUP(Q60*Rules!$C$12,0),"Pass","Fail"),"N/A")</f>
        <v/>
      </c>
      <c r="Q60" s="17">
        <f>IF(C60&lt;25,0,FLOOR(C60/50,0.5))</f>
        <v/>
      </c>
      <c r="R60" s="17">
        <f>IF(C60&lt;50,0,ROUNDDOWN(C60/50*5,0)/5)</f>
        <v/>
      </c>
      <c r="S60" s="16">
        <f>IF(AND(Requests!O60&lt;&gt;"Approved",Requests!M60&lt;TODAY()),"Overdue",IF(Requests!M60-TODAY()&lt;=Rules!$C$26,"Due Soon","On Track"))</f>
        <v/>
      </c>
      <c r="T60" s="16">
        <f>IF(AND(G60="Pass",J60&lt;&gt;"Fail",L60="Pass",N60="Pass",P60&lt;&gt;"Fail"),"Approved",IF(OR(L60="Fail – Missing FOS",N60="Fail"),"Escalate","Needs Correction"))</f>
        <v/>
      </c>
      <c r="U60" s="16">
        <f>IFERROR(IF(G60&lt;&gt;"Pass","Insufficient learning objectives; ","")&amp;IF(AND(J60="Fail",D60="Group"),"Missing attendance checks; ","")&amp;IF(L60&lt;&gt;"Pass","Missing field of study; ","")&amp;IF(N60&lt;&gt;"Pass","Invalid program level; ","")&amp;IF(AND(P60="Fail",D60="Self-study"),"Insufficient review questions; ",""),"Check data")</f>
        <v/>
      </c>
    </row>
    <row r="61">
      <c r="A61" s="16">
        <f>Requests!A61</f>
        <v/>
      </c>
      <c r="B61" s="16">
        <f>Requests!B61</f>
        <v/>
      </c>
      <c r="C61" s="16">
        <f>Requests!F61</f>
        <v/>
      </c>
      <c r="D61" s="16">
        <f>Requests!E61</f>
        <v/>
      </c>
      <c r="E61" s="16">
        <f>Requests!I61</f>
        <v/>
      </c>
      <c r="F61" s="16">
        <f>ROUNDUP(C61/50*Rules!$C$5,0)</f>
        <v/>
      </c>
      <c r="G61" s="16">
        <f>IF(E61&gt;=F61,"Pass","Fail")</f>
        <v/>
      </c>
      <c r="H61" s="16">
        <f>Requests!J61</f>
        <v/>
      </c>
      <c r="I61" s="16">
        <f>IF(D61="Group",ROUNDUP(C61/50*Rules!$C$9,0),0)</f>
        <v/>
      </c>
      <c r="J61" s="16">
        <f>IF(D61="Self-study","N/A",IF(H61&gt;=I61,"Pass","Fail"))</f>
        <v/>
      </c>
      <c r="K61" s="16">
        <f>Requests!G61</f>
        <v/>
      </c>
      <c r="L61" s="16">
        <f>IF(K61&lt;&gt;"","Pass","Fail – Missing FOS")</f>
        <v/>
      </c>
      <c r="M61" s="16">
        <f>Requests!H61</f>
        <v/>
      </c>
      <c r="N61" s="16">
        <f>IF(OR(M61="Basic",M61="Intermediate",M61="Advanced"),"Pass","Fail")</f>
        <v/>
      </c>
      <c r="O61" s="16">
        <f>Requests!K61</f>
        <v/>
      </c>
      <c r="P61" s="16">
        <f>IF(D61="Self-study",IF(O61&gt;=ROUNDUP(Q61*Rules!$C$12,0),"Pass","Fail"),"N/A")</f>
        <v/>
      </c>
      <c r="Q61" s="17">
        <f>IF(C61&lt;25,0,FLOOR(C61/50,0.5))</f>
        <v/>
      </c>
      <c r="R61" s="17">
        <f>IF(C61&lt;50,0,ROUNDDOWN(C61/50*5,0)/5)</f>
        <v/>
      </c>
      <c r="S61" s="16">
        <f>IF(AND(Requests!O61&lt;&gt;"Approved",Requests!M61&lt;TODAY()),"Overdue",IF(Requests!M61-TODAY()&lt;=Rules!$C$26,"Due Soon","On Track"))</f>
        <v/>
      </c>
      <c r="T61" s="16">
        <f>IF(AND(G61="Pass",J61&lt;&gt;"Fail",L61="Pass",N61="Pass",P61&lt;&gt;"Fail"),"Approved",IF(OR(L61="Fail – Missing FOS",N61="Fail"),"Escalate","Needs Correction"))</f>
        <v/>
      </c>
      <c r="U61" s="16">
        <f>IFERROR(IF(G61&lt;&gt;"Pass","Insufficient learning objectives; ","")&amp;IF(AND(J61="Fail",D61="Group"),"Missing attendance checks; ","")&amp;IF(L61&lt;&gt;"Pass","Missing field of study; ","")&amp;IF(N61&lt;&gt;"Pass","Invalid program level; ","")&amp;IF(AND(P61="Fail",D61="Self-study"),"Insufficient review questions; ",""),"Check data")</f>
        <v/>
      </c>
    </row>
    <row r="62">
      <c r="A62" s="16">
        <f>Requests!A62</f>
        <v/>
      </c>
      <c r="B62" s="16">
        <f>Requests!B62</f>
        <v/>
      </c>
      <c r="C62" s="16">
        <f>Requests!F62</f>
        <v/>
      </c>
      <c r="D62" s="16">
        <f>Requests!E62</f>
        <v/>
      </c>
      <c r="E62" s="16">
        <f>Requests!I62</f>
        <v/>
      </c>
      <c r="F62" s="16">
        <f>ROUNDUP(C62/50*Rules!$C$5,0)</f>
        <v/>
      </c>
      <c r="G62" s="16">
        <f>IF(E62&gt;=F62,"Pass","Fail")</f>
        <v/>
      </c>
      <c r="H62" s="16">
        <f>Requests!J62</f>
        <v/>
      </c>
      <c r="I62" s="16">
        <f>IF(D62="Group",ROUNDUP(C62/50*Rules!$C$9,0),0)</f>
        <v/>
      </c>
      <c r="J62" s="16">
        <f>IF(D62="Self-study","N/A",IF(H62&gt;=I62,"Pass","Fail"))</f>
        <v/>
      </c>
      <c r="K62" s="16">
        <f>Requests!G62</f>
        <v/>
      </c>
      <c r="L62" s="16">
        <f>IF(K62&lt;&gt;"","Pass","Fail – Missing FOS")</f>
        <v/>
      </c>
      <c r="M62" s="16">
        <f>Requests!H62</f>
        <v/>
      </c>
      <c r="N62" s="16">
        <f>IF(OR(M62="Basic",M62="Intermediate",M62="Advanced"),"Pass","Fail")</f>
        <v/>
      </c>
      <c r="O62" s="16">
        <f>Requests!K62</f>
        <v/>
      </c>
      <c r="P62" s="16">
        <f>IF(D62="Self-study",IF(O62&gt;=ROUNDUP(Q62*Rules!$C$12,0),"Pass","Fail"),"N/A")</f>
        <v/>
      </c>
      <c r="Q62" s="17">
        <f>IF(C62&lt;25,0,FLOOR(C62/50,0.5))</f>
        <v/>
      </c>
      <c r="R62" s="17">
        <f>IF(C62&lt;50,0,ROUNDDOWN(C62/50*5,0)/5)</f>
        <v/>
      </c>
      <c r="S62" s="16">
        <f>IF(AND(Requests!O62&lt;&gt;"Approved",Requests!M62&lt;TODAY()),"Overdue",IF(Requests!M62-TODAY()&lt;=Rules!$C$26,"Due Soon","On Track"))</f>
        <v/>
      </c>
      <c r="T62" s="16">
        <f>IF(AND(G62="Pass",J62&lt;&gt;"Fail",L62="Pass",N62="Pass",P62&lt;&gt;"Fail"),"Approved",IF(OR(L62="Fail – Missing FOS",N62="Fail"),"Escalate","Needs Correction"))</f>
        <v/>
      </c>
      <c r="U62" s="16">
        <f>IFERROR(IF(G62&lt;&gt;"Pass","Insufficient learning objectives; ","")&amp;IF(AND(J62="Fail",D62="Group"),"Missing attendance checks; ","")&amp;IF(L62&lt;&gt;"Pass","Missing field of study; ","")&amp;IF(N62&lt;&gt;"Pass","Invalid program level; ","")&amp;IF(AND(P62="Fail",D62="Self-study"),"Insufficient review questions; ",""),"Check data")</f>
        <v/>
      </c>
    </row>
    <row r="63">
      <c r="A63" s="16">
        <f>Requests!A63</f>
        <v/>
      </c>
      <c r="B63" s="16">
        <f>Requests!B63</f>
        <v/>
      </c>
      <c r="C63" s="16">
        <f>Requests!F63</f>
        <v/>
      </c>
      <c r="D63" s="16">
        <f>Requests!E63</f>
        <v/>
      </c>
      <c r="E63" s="16">
        <f>Requests!I63</f>
        <v/>
      </c>
      <c r="F63" s="16">
        <f>ROUNDUP(C63/50*Rules!$C$5,0)</f>
        <v/>
      </c>
      <c r="G63" s="16">
        <f>IF(E63&gt;=F63,"Pass","Fail")</f>
        <v/>
      </c>
      <c r="H63" s="16">
        <f>Requests!J63</f>
        <v/>
      </c>
      <c r="I63" s="16">
        <f>IF(D63="Group",ROUNDUP(C63/50*Rules!$C$9,0),0)</f>
        <v/>
      </c>
      <c r="J63" s="16">
        <f>IF(D63="Self-study","N/A",IF(H63&gt;=I63,"Pass","Fail"))</f>
        <v/>
      </c>
      <c r="K63" s="16">
        <f>Requests!G63</f>
        <v/>
      </c>
      <c r="L63" s="16">
        <f>IF(K63&lt;&gt;"","Pass","Fail – Missing FOS")</f>
        <v/>
      </c>
      <c r="M63" s="16">
        <f>Requests!H63</f>
        <v/>
      </c>
      <c r="N63" s="16">
        <f>IF(OR(M63="Basic",M63="Intermediate",M63="Advanced"),"Pass","Fail")</f>
        <v/>
      </c>
      <c r="O63" s="16">
        <f>Requests!K63</f>
        <v/>
      </c>
      <c r="P63" s="16">
        <f>IF(D63="Self-study",IF(O63&gt;=ROUNDUP(Q63*Rules!$C$12,0),"Pass","Fail"),"N/A")</f>
        <v/>
      </c>
      <c r="Q63" s="17">
        <f>IF(C63&lt;25,0,FLOOR(C63/50,0.5))</f>
        <v/>
      </c>
      <c r="R63" s="17">
        <f>IF(C63&lt;50,0,ROUNDDOWN(C63/50*5,0)/5)</f>
        <v/>
      </c>
      <c r="S63" s="16">
        <f>IF(AND(Requests!O63&lt;&gt;"Approved",Requests!M63&lt;TODAY()),"Overdue",IF(Requests!M63-TODAY()&lt;=Rules!$C$26,"Due Soon","On Track"))</f>
        <v/>
      </c>
      <c r="T63" s="16">
        <f>IF(AND(G63="Pass",J63&lt;&gt;"Fail",L63="Pass",N63="Pass",P63&lt;&gt;"Fail"),"Approved",IF(OR(L63="Fail – Missing FOS",N63="Fail"),"Escalate","Needs Correction"))</f>
        <v/>
      </c>
      <c r="U63" s="16">
        <f>IFERROR(IF(G63&lt;&gt;"Pass","Insufficient learning objectives; ","")&amp;IF(AND(J63="Fail",D63="Group"),"Missing attendance checks; ","")&amp;IF(L63&lt;&gt;"Pass","Missing field of study; ","")&amp;IF(N63&lt;&gt;"Pass","Invalid program level; ","")&amp;IF(AND(P63="Fail",D63="Self-study"),"Insufficient review questions; ",""),"Check data")</f>
        <v/>
      </c>
    </row>
    <row r="64">
      <c r="A64" s="16">
        <f>Requests!A64</f>
        <v/>
      </c>
      <c r="B64" s="16">
        <f>Requests!B64</f>
        <v/>
      </c>
      <c r="C64" s="16">
        <f>Requests!F64</f>
        <v/>
      </c>
      <c r="D64" s="16">
        <f>Requests!E64</f>
        <v/>
      </c>
      <c r="E64" s="16">
        <f>Requests!I64</f>
        <v/>
      </c>
      <c r="F64" s="16">
        <f>ROUNDUP(C64/50*Rules!$C$5,0)</f>
        <v/>
      </c>
      <c r="G64" s="16">
        <f>IF(E64&gt;=F64,"Pass","Fail")</f>
        <v/>
      </c>
      <c r="H64" s="16">
        <f>Requests!J64</f>
        <v/>
      </c>
      <c r="I64" s="16">
        <f>IF(D64="Group",ROUNDUP(C64/50*Rules!$C$9,0),0)</f>
        <v/>
      </c>
      <c r="J64" s="16">
        <f>IF(D64="Self-study","N/A",IF(H64&gt;=I64,"Pass","Fail"))</f>
        <v/>
      </c>
      <c r="K64" s="16">
        <f>Requests!G64</f>
        <v/>
      </c>
      <c r="L64" s="16">
        <f>IF(K64&lt;&gt;"","Pass","Fail – Missing FOS")</f>
        <v/>
      </c>
      <c r="M64" s="16">
        <f>Requests!H64</f>
        <v/>
      </c>
      <c r="N64" s="16">
        <f>IF(OR(M64="Basic",M64="Intermediate",M64="Advanced"),"Pass","Fail")</f>
        <v/>
      </c>
      <c r="O64" s="16">
        <f>Requests!K64</f>
        <v/>
      </c>
      <c r="P64" s="16">
        <f>IF(D64="Self-study",IF(O64&gt;=ROUNDUP(Q64*Rules!$C$12,0),"Pass","Fail"),"N/A")</f>
        <v/>
      </c>
      <c r="Q64" s="17">
        <f>IF(C64&lt;25,0,FLOOR(C64/50,0.5))</f>
        <v/>
      </c>
      <c r="R64" s="17">
        <f>IF(C64&lt;50,0,ROUNDDOWN(C64/50*5,0)/5)</f>
        <v/>
      </c>
      <c r="S64" s="16">
        <f>IF(AND(Requests!O64&lt;&gt;"Approved",Requests!M64&lt;TODAY()),"Overdue",IF(Requests!M64-TODAY()&lt;=Rules!$C$26,"Due Soon","On Track"))</f>
        <v/>
      </c>
      <c r="T64" s="16">
        <f>IF(AND(G64="Pass",J64&lt;&gt;"Fail",L64="Pass",N64="Pass",P64&lt;&gt;"Fail"),"Approved",IF(OR(L64="Fail – Missing FOS",N64="Fail"),"Escalate","Needs Correction"))</f>
        <v/>
      </c>
      <c r="U64" s="16">
        <f>IFERROR(IF(G64&lt;&gt;"Pass","Insufficient learning objectives; ","")&amp;IF(AND(J64="Fail",D64="Group"),"Missing attendance checks; ","")&amp;IF(L64&lt;&gt;"Pass","Missing field of study; ","")&amp;IF(N64&lt;&gt;"Pass","Invalid program level; ","")&amp;IF(AND(P64="Fail",D64="Self-study"),"Insufficient review questions; ",""),"Check data")</f>
        <v/>
      </c>
    </row>
    <row r="65">
      <c r="A65" s="16">
        <f>Requests!A65</f>
        <v/>
      </c>
      <c r="B65" s="16">
        <f>Requests!B65</f>
        <v/>
      </c>
      <c r="C65" s="16">
        <f>Requests!F65</f>
        <v/>
      </c>
      <c r="D65" s="16">
        <f>Requests!E65</f>
        <v/>
      </c>
      <c r="E65" s="16">
        <f>Requests!I65</f>
        <v/>
      </c>
      <c r="F65" s="16">
        <f>ROUNDUP(C65/50*Rules!$C$5,0)</f>
        <v/>
      </c>
      <c r="G65" s="16">
        <f>IF(E65&gt;=F65,"Pass","Fail")</f>
        <v/>
      </c>
      <c r="H65" s="16">
        <f>Requests!J65</f>
        <v/>
      </c>
      <c r="I65" s="16">
        <f>IF(D65="Group",ROUNDUP(C65/50*Rules!$C$9,0),0)</f>
        <v/>
      </c>
      <c r="J65" s="16">
        <f>IF(D65="Self-study","N/A",IF(H65&gt;=I65,"Pass","Fail"))</f>
        <v/>
      </c>
      <c r="K65" s="16">
        <f>Requests!G65</f>
        <v/>
      </c>
      <c r="L65" s="16">
        <f>IF(K65&lt;&gt;"","Pass","Fail – Missing FOS")</f>
        <v/>
      </c>
      <c r="M65" s="16">
        <f>Requests!H65</f>
        <v/>
      </c>
      <c r="N65" s="16">
        <f>IF(OR(M65="Basic",M65="Intermediate",M65="Advanced"),"Pass","Fail")</f>
        <v/>
      </c>
      <c r="O65" s="16">
        <f>Requests!K65</f>
        <v/>
      </c>
      <c r="P65" s="16">
        <f>IF(D65="Self-study",IF(O65&gt;=ROUNDUP(Q65*Rules!$C$12,0),"Pass","Fail"),"N/A")</f>
        <v/>
      </c>
      <c r="Q65" s="17">
        <f>IF(C65&lt;25,0,FLOOR(C65/50,0.5))</f>
        <v/>
      </c>
      <c r="R65" s="17">
        <f>IF(C65&lt;50,0,ROUNDDOWN(C65/50*5,0)/5)</f>
        <v/>
      </c>
      <c r="S65" s="16">
        <f>IF(AND(Requests!O65&lt;&gt;"Approved",Requests!M65&lt;TODAY()),"Overdue",IF(Requests!M65-TODAY()&lt;=Rules!$C$26,"Due Soon","On Track"))</f>
        <v/>
      </c>
      <c r="T65" s="16">
        <f>IF(AND(G65="Pass",J65&lt;&gt;"Fail",L65="Pass",N65="Pass",P65&lt;&gt;"Fail"),"Approved",IF(OR(L65="Fail – Missing FOS",N65="Fail"),"Escalate","Needs Correction"))</f>
        <v/>
      </c>
      <c r="U65" s="16">
        <f>IFERROR(IF(G65&lt;&gt;"Pass","Insufficient learning objectives; ","")&amp;IF(AND(J65="Fail",D65="Group"),"Missing attendance checks; ","")&amp;IF(L65&lt;&gt;"Pass","Missing field of study; ","")&amp;IF(N65&lt;&gt;"Pass","Invalid program level; ","")&amp;IF(AND(P65="Fail",D65="Self-study"),"Insufficient review questions; ",""),"Check data")</f>
        <v/>
      </c>
    </row>
    <row r="66">
      <c r="A66" s="16">
        <f>Requests!A66</f>
        <v/>
      </c>
      <c r="B66" s="16">
        <f>Requests!B66</f>
        <v/>
      </c>
      <c r="C66" s="16">
        <f>Requests!F66</f>
        <v/>
      </c>
      <c r="D66" s="16">
        <f>Requests!E66</f>
        <v/>
      </c>
      <c r="E66" s="16">
        <f>Requests!I66</f>
        <v/>
      </c>
      <c r="F66" s="16">
        <f>ROUNDUP(C66/50*Rules!$C$5,0)</f>
        <v/>
      </c>
      <c r="G66" s="16">
        <f>IF(E66&gt;=F66,"Pass","Fail")</f>
        <v/>
      </c>
      <c r="H66" s="16">
        <f>Requests!J66</f>
        <v/>
      </c>
      <c r="I66" s="16">
        <f>IF(D66="Group",ROUNDUP(C66/50*Rules!$C$9,0),0)</f>
        <v/>
      </c>
      <c r="J66" s="16">
        <f>IF(D66="Self-study","N/A",IF(H66&gt;=I66,"Pass","Fail"))</f>
        <v/>
      </c>
      <c r="K66" s="16">
        <f>Requests!G66</f>
        <v/>
      </c>
      <c r="L66" s="16">
        <f>IF(K66&lt;&gt;"","Pass","Fail – Missing FOS")</f>
        <v/>
      </c>
      <c r="M66" s="16">
        <f>Requests!H66</f>
        <v/>
      </c>
      <c r="N66" s="16">
        <f>IF(OR(M66="Basic",M66="Intermediate",M66="Advanced"),"Pass","Fail")</f>
        <v/>
      </c>
      <c r="O66" s="16">
        <f>Requests!K66</f>
        <v/>
      </c>
      <c r="P66" s="16">
        <f>IF(D66="Self-study",IF(O66&gt;=ROUNDUP(Q66*Rules!$C$12,0),"Pass","Fail"),"N/A")</f>
        <v/>
      </c>
      <c r="Q66" s="17">
        <f>IF(C66&lt;25,0,FLOOR(C66/50,0.5))</f>
        <v/>
      </c>
      <c r="R66" s="17">
        <f>IF(C66&lt;50,0,ROUNDDOWN(C66/50*5,0)/5)</f>
        <v/>
      </c>
      <c r="S66" s="16">
        <f>IF(AND(Requests!O66&lt;&gt;"Approved",Requests!M66&lt;TODAY()),"Overdue",IF(Requests!M66-TODAY()&lt;=Rules!$C$26,"Due Soon","On Track"))</f>
        <v/>
      </c>
      <c r="T66" s="16">
        <f>IF(AND(G66="Pass",J66&lt;&gt;"Fail",L66="Pass",N66="Pass",P66&lt;&gt;"Fail"),"Approved",IF(OR(L66="Fail – Missing FOS",N66="Fail"),"Escalate","Needs Correction"))</f>
        <v/>
      </c>
      <c r="U66" s="16">
        <f>IFERROR(IF(G66&lt;&gt;"Pass","Insufficient learning objectives; ","")&amp;IF(AND(J66="Fail",D66="Group"),"Missing attendance checks; ","")&amp;IF(L66&lt;&gt;"Pass","Missing field of study; ","")&amp;IF(N66&lt;&gt;"Pass","Invalid program level; ","")&amp;IF(AND(P66="Fail",D66="Self-study"),"Insufficient review questions; ",""),"Check data")</f>
        <v/>
      </c>
    </row>
    <row r="67">
      <c r="A67" s="16">
        <f>Requests!A67</f>
        <v/>
      </c>
      <c r="B67" s="16">
        <f>Requests!B67</f>
        <v/>
      </c>
      <c r="C67" s="16">
        <f>Requests!F67</f>
        <v/>
      </c>
      <c r="D67" s="16">
        <f>Requests!E67</f>
        <v/>
      </c>
      <c r="E67" s="16">
        <f>Requests!I67</f>
        <v/>
      </c>
      <c r="F67" s="16">
        <f>ROUNDUP(C67/50*Rules!$C$5,0)</f>
        <v/>
      </c>
      <c r="G67" s="16">
        <f>IF(E67&gt;=F67,"Pass","Fail")</f>
        <v/>
      </c>
      <c r="H67" s="16">
        <f>Requests!J67</f>
        <v/>
      </c>
      <c r="I67" s="16">
        <f>IF(D67="Group",ROUNDUP(C67/50*Rules!$C$9,0),0)</f>
        <v/>
      </c>
      <c r="J67" s="16">
        <f>IF(D67="Self-study","N/A",IF(H67&gt;=I67,"Pass","Fail"))</f>
        <v/>
      </c>
      <c r="K67" s="16">
        <f>Requests!G67</f>
        <v/>
      </c>
      <c r="L67" s="16">
        <f>IF(K67&lt;&gt;"","Pass","Fail – Missing FOS")</f>
        <v/>
      </c>
      <c r="M67" s="16">
        <f>Requests!H67</f>
        <v/>
      </c>
      <c r="N67" s="16">
        <f>IF(OR(M67="Basic",M67="Intermediate",M67="Advanced"),"Pass","Fail")</f>
        <v/>
      </c>
      <c r="O67" s="16">
        <f>Requests!K67</f>
        <v/>
      </c>
      <c r="P67" s="16">
        <f>IF(D67="Self-study",IF(O67&gt;=ROUNDUP(Q67*Rules!$C$12,0),"Pass","Fail"),"N/A")</f>
        <v/>
      </c>
      <c r="Q67" s="17">
        <f>IF(C67&lt;25,0,FLOOR(C67/50,0.5))</f>
        <v/>
      </c>
      <c r="R67" s="17">
        <f>IF(C67&lt;50,0,ROUNDDOWN(C67/50*5,0)/5)</f>
        <v/>
      </c>
      <c r="S67" s="16">
        <f>IF(AND(Requests!O67&lt;&gt;"Approved",Requests!M67&lt;TODAY()),"Overdue",IF(Requests!M67-TODAY()&lt;=Rules!$C$26,"Due Soon","On Track"))</f>
        <v/>
      </c>
      <c r="T67" s="16">
        <f>IF(AND(G67="Pass",J67&lt;&gt;"Fail",L67="Pass",N67="Pass",P67&lt;&gt;"Fail"),"Approved",IF(OR(L67="Fail – Missing FOS",N67="Fail"),"Escalate","Needs Correction"))</f>
        <v/>
      </c>
      <c r="U67" s="16">
        <f>IFERROR(IF(G67&lt;&gt;"Pass","Insufficient learning objectives; ","")&amp;IF(AND(J67="Fail",D67="Group"),"Missing attendance checks; ","")&amp;IF(L67&lt;&gt;"Pass","Missing field of study; ","")&amp;IF(N67&lt;&gt;"Pass","Invalid program level; ","")&amp;IF(AND(P67="Fail",D67="Self-study"),"Insufficient review questions; ",""),"Check data")</f>
        <v/>
      </c>
    </row>
    <row r="68">
      <c r="A68" s="16">
        <f>Requests!A68</f>
        <v/>
      </c>
      <c r="B68" s="16">
        <f>Requests!B68</f>
        <v/>
      </c>
      <c r="C68" s="16">
        <f>Requests!F68</f>
        <v/>
      </c>
      <c r="D68" s="16">
        <f>Requests!E68</f>
        <v/>
      </c>
      <c r="E68" s="16">
        <f>Requests!I68</f>
        <v/>
      </c>
      <c r="F68" s="16">
        <f>ROUNDUP(C68/50*Rules!$C$5,0)</f>
        <v/>
      </c>
      <c r="G68" s="16">
        <f>IF(E68&gt;=F68,"Pass","Fail")</f>
        <v/>
      </c>
      <c r="H68" s="16">
        <f>Requests!J68</f>
        <v/>
      </c>
      <c r="I68" s="16">
        <f>IF(D68="Group",ROUNDUP(C68/50*Rules!$C$9,0),0)</f>
        <v/>
      </c>
      <c r="J68" s="16">
        <f>IF(D68="Self-study","N/A",IF(H68&gt;=I68,"Pass","Fail"))</f>
        <v/>
      </c>
      <c r="K68" s="16">
        <f>Requests!G68</f>
        <v/>
      </c>
      <c r="L68" s="16">
        <f>IF(K68&lt;&gt;"","Pass","Fail – Missing FOS")</f>
        <v/>
      </c>
      <c r="M68" s="16">
        <f>Requests!H68</f>
        <v/>
      </c>
      <c r="N68" s="16">
        <f>IF(OR(M68="Basic",M68="Intermediate",M68="Advanced"),"Pass","Fail")</f>
        <v/>
      </c>
      <c r="O68" s="16">
        <f>Requests!K68</f>
        <v/>
      </c>
      <c r="P68" s="16">
        <f>IF(D68="Self-study",IF(O68&gt;=ROUNDUP(Q68*Rules!$C$12,0),"Pass","Fail"),"N/A")</f>
        <v/>
      </c>
      <c r="Q68" s="17">
        <f>IF(C68&lt;25,0,FLOOR(C68/50,0.5))</f>
        <v/>
      </c>
      <c r="R68" s="17">
        <f>IF(C68&lt;50,0,ROUNDDOWN(C68/50*5,0)/5)</f>
        <v/>
      </c>
      <c r="S68" s="16">
        <f>IF(AND(Requests!O68&lt;&gt;"Approved",Requests!M68&lt;TODAY()),"Overdue",IF(Requests!M68-TODAY()&lt;=Rules!$C$26,"Due Soon","On Track"))</f>
        <v/>
      </c>
      <c r="T68" s="16">
        <f>IF(AND(G68="Pass",J68&lt;&gt;"Fail",L68="Pass",N68="Pass",P68&lt;&gt;"Fail"),"Approved",IF(OR(L68="Fail – Missing FOS",N68="Fail"),"Escalate","Needs Correction"))</f>
        <v/>
      </c>
      <c r="U68" s="16">
        <f>IFERROR(IF(G68&lt;&gt;"Pass","Insufficient learning objectives; ","")&amp;IF(AND(J68="Fail",D68="Group"),"Missing attendance checks; ","")&amp;IF(L68&lt;&gt;"Pass","Missing field of study; ","")&amp;IF(N68&lt;&gt;"Pass","Invalid program level; ","")&amp;IF(AND(P68="Fail",D68="Self-study"),"Insufficient review questions; ",""),"Check data")</f>
        <v/>
      </c>
    </row>
    <row r="69">
      <c r="A69" s="16">
        <f>Requests!A69</f>
        <v/>
      </c>
      <c r="B69" s="16">
        <f>Requests!B69</f>
        <v/>
      </c>
      <c r="C69" s="16">
        <f>Requests!F69</f>
        <v/>
      </c>
      <c r="D69" s="16">
        <f>Requests!E69</f>
        <v/>
      </c>
      <c r="E69" s="16">
        <f>Requests!I69</f>
        <v/>
      </c>
      <c r="F69" s="16">
        <f>ROUNDUP(C69/50*Rules!$C$5,0)</f>
        <v/>
      </c>
      <c r="G69" s="16">
        <f>IF(E69&gt;=F69,"Pass","Fail")</f>
        <v/>
      </c>
      <c r="H69" s="16">
        <f>Requests!J69</f>
        <v/>
      </c>
      <c r="I69" s="16">
        <f>IF(D69="Group",ROUNDUP(C69/50*Rules!$C$9,0),0)</f>
        <v/>
      </c>
      <c r="J69" s="16">
        <f>IF(D69="Self-study","N/A",IF(H69&gt;=I69,"Pass","Fail"))</f>
        <v/>
      </c>
      <c r="K69" s="16">
        <f>Requests!G69</f>
        <v/>
      </c>
      <c r="L69" s="16">
        <f>IF(K69&lt;&gt;"","Pass","Fail – Missing FOS")</f>
        <v/>
      </c>
      <c r="M69" s="16">
        <f>Requests!H69</f>
        <v/>
      </c>
      <c r="N69" s="16">
        <f>IF(OR(M69="Basic",M69="Intermediate",M69="Advanced"),"Pass","Fail")</f>
        <v/>
      </c>
      <c r="O69" s="16">
        <f>Requests!K69</f>
        <v/>
      </c>
      <c r="P69" s="16">
        <f>IF(D69="Self-study",IF(O69&gt;=ROUNDUP(Q69*Rules!$C$12,0),"Pass","Fail"),"N/A")</f>
        <v/>
      </c>
      <c r="Q69" s="17">
        <f>IF(C69&lt;25,0,FLOOR(C69/50,0.5))</f>
        <v/>
      </c>
      <c r="R69" s="17">
        <f>IF(C69&lt;50,0,ROUNDDOWN(C69/50*5,0)/5)</f>
        <v/>
      </c>
      <c r="S69" s="16">
        <f>IF(AND(Requests!O69&lt;&gt;"Approved",Requests!M69&lt;TODAY()),"Overdue",IF(Requests!M69-TODAY()&lt;=Rules!$C$26,"Due Soon","On Track"))</f>
        <v/>
      </c>
      <c r="T69" s="16">
        <f>IF(AND(G69="Pass",J69&lt;&gt;"Fail",L69="Pass",N69="Pass",P69&lt;&gt;"Fail"),"Approved",IF(OR(L69="Fail – Missing FOS",N69="Fail"),"Escalate","Needs Correction"))</f>
        <v/>
      </c>
      <c r="U69" s="16">
        <f>IFERROR(IF(G69&lt;&gt;"Pass","Insufficient learning objectives; ","")&amp;IF(AND(J69="Fail",D69="Group"),"Missing attendance checks; ","")&amp;IF(L69&lt;&gt;"Pass","Missing field of study; ","")&amp;IF(N69&lt;&gt;"Pass","Invalid program level; ","")&amp;IF(AND(P69="Fail",D69="Self-study"),"Insufficient review questions; ",""),"Check data")</f>
        <v/>
      </c>
    </row>
    <row r="70">
      <c r="A70" s="16">
        <f>Requests!A70</f>
        <v/>
      </c>
      <c r="B70" s="16">
        <f>Requests!B70</f>
        <v/>
      </c>
      <c r="C70" s="16">
        <f>Requests!F70</f>
        <v/>
      </c>
      <c r="D70" s="16">
        <f>Requests!E70</f>
        <v/>
      </c>
      <c r="E70" s="16">
        <f>Requests!I70</f>
        <v/>
      </c>
      <c r="F70" s="16">
        <f>ROUNDUP(C70/50*Rules!$C$5,0)</f>
        <v/>
      </c>
      <c r="G70" s="16">
        <f>IF(E70&gt;=F70,"Pass","Fail")</f>
        <v/>
      </c>
      <c r="H70" s="16">
        <f>Requests!J70</f>
        <v/>
      </c>
      <c r="I70" s="16">
        <f>IF(D70="Group",ROUNDUP(C70/50*Rules!$C$9,0),0)</f>
        <v/>
      </c>
      <c r="J70" s="16">
        <f>IF(D70="Self-study","N/A",IF(H70&gt;=I70,"Pass","Fail"))</f>
        <v/>
      </c>
      <c r="K70" s="16">
        <f>Requests!G70</f>
        <v/>
      </c>
      <c r="L70" s="16">
        <f>IF(K70&lt;&gt;"","Pass","Fail – Missing FOS")</f>
        <v/>
      </c>
      <c r="M70" s="16">
        <f>Requests!H70</f>
        <v/>
      </c>
      <c r="N70" s="16">
        <f>IF(OR(M70="Basic",M70="Intermediate",M70="Advanced"),"Pass","Fail")</f>
        <v/>
      </c>
      <c r="O70" s="16">
        <f>Requests!K70</f>
        <v/>
      </c>
      <c r="P70" s="16">
        <f>IF(D70="Self-study",IF(O70&gt;=ROUNDUP(Q70*Rules!$C$12,0),"Pass","Fail"),"N/A")</f>
        <v/>
      </c>
      <c r="Q70" s="17">
        <f>IF(C70&lt;25,0,FLOOR(C70/50,0.5))</f>
        <v/>
      </c>
      <c r="R70" s="17">
        <f>IF(C70&lt;50,0,ROUNDDOWN(C70/50*5,0)/5)</f>
        <v/>
      </c>
      <c r="S70" s="16">
        <f>IF(AND(Requests!O70&lt;&gt;"Approved",Requests!M70&lt;TODAY()),"Overdue",IF(Requests!M70-TODAY()&lt;=Rules!$C$26,"Due Soon","On Track"))</f>
        <v/>
      </c>
      <c r="T70" s="16">
        <f>IF(AND(G70="Pass",J70&lt;&gt;"Fail",L70="Pass",N70="Pass",P70&lt;&gt;"Fail"),"Approved",IF(OR(L70="Fail – Missing FOS",N70="Fail"),"Escalate","Needs Correction"))</f>
        <v/>
      </c>
      <c r="U70" s="16">
        <f>IFERROR(IF(G70&lt;&gt;"Pass","Insufficient learning objectives; ","")&amp;IF(AND(J70="Fail",D70="Group"),"Missing attendance checks; ","")&amp;IF(L70&lt;&gt;"Pass","Missing field of study; ","")&amp;IF(N70&lt;&gt;"Pass","Invalid program level; ","")&amp;IF(AND(P70="Fail",D70="Self-study"),"Insufficient review questions; ",""),"Check data")</f>
        <v/>
      </c>
    </row>
    <row r="71">
      <c r="A71" s="16">
        <f>Requests!A71</f>
        <v/>
      </c>
      <c r="B71" s="16">
        <f>Requests!B71</f>
        <v/>
      </c>
      <c r="C71" s="16">
        <f>Requests!F71</f>
        <v/>
      </c>
      <c r="D71" s="16">
        <f>Requests!E71</f>
        <v/>
      </c>
      <c r="E71" s="16">
        <f>Requests!I71</f>
        <v/>
      </c>
      <c r="F71" s="16">
        <f>ROUNDUP(C71/50*Rules!$C$5,0)</f>
        <v/>
      </c>
      <c r="G71" s="16">
        <f>IF(E71&gt;=F71,"Pass","Fail")</f>
        <v/>
      </c>
      <c r="H71" s="16">
        <f>Requests!J71</f>
        <v/>
      </c>
      <c r="I71" s="16">
        <f>IF(D71="Group",ROUNDUP(C71/50*Rules!$C$9,0),0)</f>
        <v/>
      </c>
      <c r="J71" s="16">
        <f>IF(D71="Self-study","N/A",IF(H71&gt;=I71,"Pass","Fail"))</f>
        <v/>
      </c>
      <c r="K71" s="16">
        <f>Requests!G71</f>
        <v/>
      </c>
      <c r="L71" s="16">
        <f>IF(K71&lt;&gt;"","Pass","Fail – Missing FOS")</f>
        <v/>
      </c>
      <c r="M71" s="16">
        <f>Requests!H71</f>
        <v/>
      </c>
      <c r="N71" s="16">
        <f>IF(OR(M71="Basic",M71="Intermediate",M71="Advanced"),"Pass","Fail")</f>
        <v/>
      </c>
      <c r="O71" s="16">
        <f>Requests!K71</f>
        <v/>
      </c>
      <c r="P71" s="16">
        <f>IF(D71="Self-study",IF(O71&gt;=ROUNDUP(Q71*Rules!$C$12,0),"Pass","Fail"),"N/A")</f>
        <v/>
      </c>
      <c r="Q71" s="17">
        <f>IF(C71&lt;25,0,FLOOR(C71/50,0.5))</f>
        <v/>
      </c>
      <c r="R71" s="17">
        <f>IF(C71&lt;50,0,ROUNDDOWN(C71/50*5,0)/5)</f>
        <v/>
      </c>
      <c r="S71" s="16">
        <f>IF(AND(Requests!O71&lt;&gt;"Approved",Requests!M71&lt;TODAY()),"Overdue",IF(Requests!M71-TODAY()&lt;=Rules!$C$26,"Due Soon","On Track"))</f>
        <v/>
      </c>
      <c r="T71" s="16">
        <f>IF(AND(G71="Pass",J71&lt;&gt;"Fail",L71="Pass",N71="Pass",P71&lt;&gt;"Fail"),"Approved",IF(OR(L71="Fail – Missing FOS",N71="Fail"),"Escalate","Needs Correction"))</f>
        <v/>
      </c>
      <c r="U71" s="16">
        <f>IFERROR(IF(G71&lt;&gt;"Pass","Insufficient learning objectives; ","")&amp;IF(AND(J71="Fail",D71="Group"),"Missing attendance checks; ","")&amp;IF(L71&lt;&gt;"Pass","Missing field of study; ","")&amp;IF(N71&lt;&gt;"Pass","Invalid program level; ","")&amp;IF(AND(P71="Fail",D71="Self-study"),"Insufficient review questions; ",""),"Check data")</f>
        <v/>
      </c>
    </row>
    <row r="72">
      <c r="A72" s="16">
        <f>Requests!A72</f>
        <v/>
      </c>
      <c r="B72" s="16">
        <f>Requests!B72</f>
        <v/>
      </c>
      <c r="C72" s="16">
        <f>Requests!F72</f>
        <v/>
      </c>
      <c r="D72" s="16">
        <f>Requests!E72</f>
        <v/>
      </c>
      <c r="E72" s="16">
        <f>Requests!I72</f>
        <v/>
      </c>
      <c r="F72" s="16">
        <f>ROUNDUP(C72/50*Rules!$C$5,0)</f>
        <v/>
      </c>
      <c r="G72" s="16">
        <f>IF(E72&gt;=F72,"Pass","Fail")</f>
        <v/>
      </c>
      <c r="H72" s="16">
        <f>Requests!J72</f>
        <v/>
      </c>
      <c r="I72" s="16">
        <f>IF(D72="Group",ROUNDUP(C72/50*Rules!$C$9,0),0)</f>
        <v/>
      </c>
      <c r="J72" s="16">
        <f>IF(D72="Self-study","N/A",IF(H72&gt;=I72,"Pass","Fail"))</f>
        <v/>
      </c>
      <c r="K72" s="16">
        <f>Requests!G72</f>
        <v/>
      </c>
      <c r="L72" s="16">
        <f>IF(K72&lt;&gt;"","Pass","Fail – Missing FOS")</f>
        <v/>
      </c>
      <c r="M72" s="16">
        <f>Requests!H72</f>
        <v/>
      </c>
      <c r="N72" s="16">
        <f>IF(OR(M72="Basic",M72="Intermediate",M72="Advanced"),"Pass","Fail")</f>
        <v/>
      </c>
      <c r="O72" s="16">
        <f>Requests!K72</f>
        <v/>
      </c>
      <c r="P72" s="16">
        <f>IF(D72="Self-study",IF(O72&gt;=ROUNDUP(Q72*Rules!$C$12,0),"Pass","Fail"),"N/A")</f>
        <v/>
      </c>
      <c r="Q72" s="17">
        <f>IF(C72&lt;25,0,FLOOR(C72/50,0.5))</f>
        <v/>
      </c>
      <c r="R72" s="17">
        <f>IF(C72&lt;50,0,ROUNDDOWN(C72/50*5,0)/5)</f>
        <v/>
      </c>
      <c r="S72" s="16">
        <f>IF(AND(Requests!O72&lt;&gt;"Approved",Requests!M72&lt;TODAY()),"Overdue",IF(Requests!M72-TODAY()&lt;=Rules!$C$26,"Due Soon","On Track"))</f>
        <v/>
      </c>
      <c r="T72" s="16">
        <f>IF(AND(G72="Pass",J72&lt;&gt;"Fail",L72="Pass",N72="Pass",P72&lt;&gt;"Fail"),"Approved",IF(OR(L72="Fail – Missing FOS",N72="Fail"),"Escalate","Needs Correction"))</f>
        <v/>
      </c>
      <c r="U72" s="16">
        <f>IFERROR(IF(G72&lt;&gt;"Pass","Insufficient learning objectives; ","")&amp;IF(AND(J72="Fail",D72="Group"),"Missing attendance checks; ","")&amp;IF(L72&lt;&gt;"Pass","Missing field of study; ","")&amp;IF(N72&lt;&gt;"Pass","Invalid program level; ","")&amp;IF(AND(P72="Fail",D72="Self-study"),"Insufficient review questions; ",""),"Check data")</f>
        <v/>
      </c>
    </row>
    <row r="73">
      <c r="A73" s="16">
        <f>Requests!A73</f>
        <v/>
      </c>
      <c r="B73" s="16">
        <f>Requests!B73</f>
        <v/>
      </c>
      <c r="C73" s="16">
        <f>Requests!F73</f>
        <v/>
      </c>
      <c r="D73" s="16">
        <f>Requests!E73</f>
        <v/>
      </c>
      <c r="E73" s="16">
        <f>Requests!I73</f>
        <v/>
      </c>
      <c r="F73" s="16">
        <f>ROUNDUP(C73/50*Rules!$C$5,0)</f>
        <v/>
      </c>
      <c r="G73" s="16">
        <f>IF(E73&gt;=F73,"Pass","Fail")</f>
        <v/>
      </c>
      <c r="H73" s="16">
        <f>Requests!J73</f>
        <v/>
      </c>
      <c r="I73" s="16">
        <f>IF(D73="Group",ROUNDUP(C73/50*Rules!$C$9,0),0)</f>
        <v/>
      </c>
      <c r="J73" s="16">
        <f>IF(D73="Self-study","N/A",IF(H73&gt;=I73,"Pass","Fail"))</f>
        <v/>
      </c>
      <c r="K73" s="16">
        <f>Requests!G73</f>
        <v/>
      </c>
      <c r="L73" s="16">
        <f>IF(K73&lt;&gt;"","Pass","Fail – Missing FOS")</f>
        <v/>
      </c>
      <c r="M73" s="16">
        <f>Requests!H73</f>
        <v/>
      </c>
      <c r="N73" s="16">
        <f>IF(OR(M73="Basic",M73="Intermediate",M73="Advanced"),"Pass","Fail")</f>
        <v/>
      </c>
      <c r="O73" s="16">
        <f>Requests!K73</f>
        <v/>
      </c>
      <c r="P73" s="16">
        <f>IF(D73="Self-study",IF(O73&gt;=ROUNDUP(Q73*Rules!$C$12,0),"Pass","Fail"),"N/A")</f>
        <v/>
      </c>
      <c r="Q73" s="17">
        <f>IF(C73&lt;25,0,FLOOR(C73/50,0.5))</f>
        <v/>
      </c>
      <c r="R73" s="17">
        <f>IF(C73&lt;50,0,ROUNDDOWN(C73/50*5,0)/5)</f>
        <v/>
      </c>
      <c r="S73" s="16">
        <f>IF(AND(Requests!O73&lt;&gt;"Approved",Requests!M73&lt;TODAY()),"Overdue",IF(Requests!M73-TODAY()&lt;=Rules!$C$26,"Due Soon","On Track"))</f>
        <v/>
      </c>
      <c r="T73" s="16">
        <f>IF(AND(G73="Pass",J73&lt;&gt;"Fail",L73="Pass",N73="Pass",P73&lt;&gt;"Fail"),"Approved",IF(OR(L73="Fail – Missing FOS",N73="Fail"),"Escalate","Needs Correction"))</f>
        <v/>
      </c>
      <c r="U73" s="16">
        <f>IFERROR(IF(G73&lt;&gt;"Pass","Insufficient learning objectives; ","")&amp;IF(AND(J73="Fail",D73="Group"),"Missing attendance checks; ","")&amp;IF(L73&lt;&gt;"Pass","Missing field of study; ","")&amp;IF(N73&lt;&gt;"Pass","Invalid program level; ","")&amp;IF(AND(P73="Fail",D73="Self-study"),"Insufficient review questions; ",""),"Check data")</f>
        <v/>
      </c>
    </row>
    <row r="74">
      <c r="A74" s="16">
        <f>Requests!A74</f>
        <v/>
      </c>
      <c r="B74" s="16">
        <f>Requests!B74</f>
        <v/>
      </c>
      <c r="C74" s="16">
        <f>Requests!F74</f>
        <v/>
      </c>
      <c r="D74" s="16">
        <f>Requests!E74</f>
        <v/>
      </c>
      <c r="E74" s="16">
        <f>Requests!I74</f>
        <v/>
      </c>
      <c r="F74" s="16">
        <f>ROUNDUP(C74/50*Rules!$C$5,0)</f>
        <v/>
      </c>
      <c r="G74" s="16">
        <f>IF(E74&gt;=F74,"Pass","Fail")</f>
        <v/>
      </c>
      <c r="H74" s="16">
        <f>Requests!J74</f>
        <v/>
      </c>
      <c r="I74" s="16">
        <f>IF(D74="Group",ROUNDUP(C74/50*Rules!$C$9,0),0)</f>
        <v/>
      </c>
      <c r="J74" s="16">
        <f>IF(D74="Self-study","N/A",IF(H74&gt;=I74,"Pass","Fail"))</f>
        <v/>
      </c>
      <c r="K74" s="16">
        <f>Requests!G74</f>
        <v/>
      </c>
      <c r="L74" s="16">
        <f>IF(K74&lt;&gt;"","Pass","Fail – Missing FOS")</f>
        <v/>
      </c>
      <c r="M74" s="16">
        <f>Requests!H74</f>
        <v/>
      </c>
      <c r="N74" s="16">
        <f>IF(OR(M74="Basic",M74="Intermediate",M74="Advanced"),"Pass","Fail")</f>
        <v/>
      </c>
      <c r="O74" s="16">
        <f>Requests!K74</f>
        <v/>
      </c>
      <c r="P74" s="16">
        <f>IF(D74="Self-study",IF(O74&gt;=ROUNDUP(Q74*Rules!$C$12,0),"Pass","Fail"),"N/A")</f>
        <v/>
      </c>
      <c r="Q74" s="17">
        <f>IF(C74&lt;25,0,FLOOR(C74/50,0.5))</f>
        <v/>
      </c>
      <c r="R74" s="17">
        <f>IF(C74&lt;50,0,ROUNDDOWN(C74/50*5,0)/5)</f>
        <v/>
      </c>
      <c r="S74" s="16">
        <f>IF(AND(Requests!O74&lt;&gt;"Approved",Requests!M74&lt;TODAY()),"Overdue",IF(Requests!M74-TODAY()&lt;=Rules!$C$26,"Due Soon","On Track"))</f>
        <v/>
      </c>
      <c r="T74" s="16">
        <f>IF(AND(G74="Pass",J74&lt;&gt;"Fail",L74="Pass",N74="Pass",P74&lt;&gt;"Fail"),"Approved",IF(OR(L74="Fail – Missing FOS",N74="Fail"),"Escalate","Needs Correction"))</f>
        <v/>
      </c>
      <c r="U74" s="16">
        <f>IFERROR(IF(G74&lt;&gt;"Pass","Insufficient learning objectives; ","")&amp;IF(AND(J74="Fail",D74="Group"),"Missing attendance checks; ","")&amp;IF(L74&lt;&gt;"Pass","Missing field of study; ","")&amp;IF(N74&lt;&gt;"Pass","Invalid program level; ","")&amp;IF(AND(P74="Fail",D74="Self-study"),"Insufficient review questions; ",""),"Check data")</f>
        <v/>
      </c>
    </row>
    <row r="75">
      <c r="A75" s="16">
        <f>Requests!A75</f>
        <v/>
      </c>
      <c r="B75" s="16">
        <f>Requests!B75</f>
        <v/>
      </c>
      <c r="C75" s="16">
        <f>Requests!F75</f>
        <v/>
      </c>
      <c r="D75" s="16">
        <f>Requests!E75</f>
        <v/>
      </c>
      <c r="E75" s="16">
        <f>Requests!I75</f>
        <v/>
      </c>
      <c r="F75" s="16">
        <f>ROUNDUP(C75/50*Rules!$C$5,0)</f>
        <v/>
      </c>
      <c r="G75" s="16">
        <f>IF(E75&gt;=F75,"Pass","Fail")</f>
        <v/>
      </c>
      <c r="H75" s="16">
        <f>Requests!J75</f>
        <v/>
      </c>
      <c r="I75" s="16">
        <f>IF(D75="Group",ROUNDUP(C75/50*Rules!$C$9,0),0)</f>
        <v/>
      </c>
      <c r="J75" s="16">
        <f>IF(D75="Self-study","N/A",IF(H75&gt;=I75,"Pass","Fail"))</f>
        <v/>
      </c>
      <c r="K75" s="16">
        <f>Requests!G75</f>
        <v/>
      </c>
      <c r="L75" s="16">
        <f>IF(K75&lt;&gt;"","Pass","Fail – Missing FOS")</f>
        <v/>
      </c>
      <c r="M75" s="16">
        <f>Requests!H75</f>
        <v/>
      </c>
      <c r="N75" s="16">
        <f>IF(OR(M75="Basic",M75="Intermediate",M75="Advanced"),"Pass","Fail")</f>
        <v/>
      </c>
      <c r="O75" s="16">
        <f>Requests!K75</f>
        <v/>
      </c>
      <c r="P75" s="16">
        <f>IF(D75="Self-study",IF(O75&gt;=ROUNDUP(Q75*Rules!$C$12,0),"Pass","Fail"),"N/A")</f>
        <v/>
      </c>
      <c r="Q75" s="17">
        <f>IF(C75&lt;25,0,FLOOR(C75/50,0.5))</f>
        <v/>
      </c>
      <c r="R75" s="17">
        <f>IF(C75&lt;50,0,ROUNDDOWN(C75/50*5,0)/5)</f>
        <v/>
      </c>
      <c r="S75" s="16">
        <f>IF(AND(Requests!O75&lt;&gt;"Approved",Requests!M75&lt;TODAY()),"Overdue",IF(Requests!M75-TODAY()&lt;=Rules!$C$26,"Due Soon","On Track"))</f>
        <v/>
      </c>
      <c r="T75" s="16">
        <f>IF(AND(G75="Pass",J75&lt;&gt;"Fail",L75="Pass",N75="Pass",P75&lt;&gt;"Fail"),"Approved",IF(OR(L75="Fail – Missing FOS",N75="Fail"),"Escalate","Needs Correction"))</f>
        <v/>
      </c>
      <c r="U75" s="16">
        <f>IFERROR(IF(G75&lt;&gt;"Pass","Insufficient learning objectives; ","")&amp;IF(AND(J75="Fail",D75="Group"),"Missing attendance checks; ","")&amp;IF(L75&lt;&gt;"Pass","Missing field of study; ","")&amp;IF(N75&lt;&gt;"Pass","Invalid program level; ","")&amp;IF(AND(P75="Fail",D75="Self-study"),"Insufficient review questions; ",""),"Check data")</f>
        <v/>
      </c>
    </row>
    <row r="76">
      <c r="A76" s="16">
        <f>Requests!A76</f>
        <v/>
      </c>
      <c r="B76" s="16">
        <f>Requests!B76</f>
        <v/>
      </c>
      <c r="C76" s="16">
        <f>Requests!F76</f>
        <v/>
      </c>
      <c r="D76" s="16">
        <f>Requests!E76</f>
        <v/>
      </c>
      <c r="E76" s="16">
        <f>Requests!I76</f>
        <v/>
      </c>
      <c r="F76" s="16">
        <f>ROUNDUP(C76/50*Rules!$C$5,0)</f>
        <v/>
      </c>
      <c r="G76" s="16">
        <f>IF(E76&gt;=F76,"Pass","Fail")</f>
        <v/>
      </c>
      <c r="H76" s="16">
        <f>Requests!J76</f>
        <v/>
      </c>
      <c r="I76" s="16">
        <f>IF(D76="Group",ROUNDUP(C76/50*Rules!$C$9,0),0)</f>
        <v/>
      </c>
      <c r="J76" s="16">
        <f>IF(D76="Self-study","N/A",IF(H76&gt;=I76,"Pass","Fail"))</f>
        <v/>
      </c>
      <c r="K76" s="16">
        <f>Requests!G76</f>
        <v/>
      </c>
      <c r="L76" s="16">
        <f>IF(K76&lt;&gt;"","Pass","Fail – Missing FOS")</f>
        <v/>
      </c>
      <c r="M76" s="16">
        <f>Requests!H76</f>
        <v/>
      </c>
      <c r="N76" s="16">
        <f>IF(OR(M76="Basic",M76="Intermediate",M76="Advanced"),"Pass","Fail")</f>
        <v/>
      </c>
      <c r="O76" s="16">
        <f>Requests!K76</f>
        <v/>
      </c>
      <c r="P76" s="16">
        <f>IF(D76="Self-study",IF(O76&gt;=ROUNDUP(Q76*Rules!$C$12,0),"Pass","Fail"),"N/A")</f>
        <v/>
      </c>
      <c r="Q76" s="17">
        <f>IF(C76&lt;25,0,FLOOR(C76/50,0.5))</f>
        <v/>
      </c>
      <c r="R76" s="17">
        <f>IF(C76&lt;50,0,ROUNDDOWN(C76/50*5,0)/5)</f>
        <v/>
      </c>
      <c r="S76" s="16">
        <f>IF(AND(Requests!O76&lt;&gt;"Approved",Requests!M76&lt;TODAY()),"Overdue",IF(Requests!M76-TODAY()&lt;=Rules!$C$26,"Due Soon","On Track"))</f>
        <v/>
      </c>
      <c r="T76" s="16">
        <f>IF(AND(G76="Pass",J76&lt;&gt;"Fail",L76="Pass",N76="Pass",P76&lt;&gt;"Fail"),"Approved",IF(OR(L76="Fail – Missing FOS",N76="Fail"),"Escalate","Needs Correction"))</f>
        <v/>
      </c>
      <c r="U76" s="16">
        <f>IFERROR(IF(G76&lt;&gt;"Pass","Insufficient learning objectives; ","")&amp;IF(AND(J76="Fail",D76="Group"),"Missing attendance checks; ","")&amp;IF(L76&lt;&gt;"Pass","Missing field of study; ","")&amp;IF(N76&lt;&gt;"Pass","Invalid program level; ","")&amp;IF(AND(P76="Fail",D76="Self-study"),"Insufficient review questions; ",""),"Check data")</f>
        <v/>
      </c>
    </row>
    <row r="77">
      <c r="A77" s="16">
        <f>Requests!A77</f>
        <v/>
      </c>
      <c r="B77" s="16">
        <f>Requests!B77</f>
        <v/>
      </c>
      <c r="C77" s="16">
        <f>Requests!F77</f>
        <v/>
      </c>
      <c r="D77" s="16">
        <f>Requests!E77</f>
        <v/>
      </c>
      <c r="E77" s="16">
        <f>Requests!I77</f>
        <v/>
      </c>
      <c r="F77" s="16">
        <f>ROUNDUP(C77/50*Rules!$C$5,0)</f>
        <v/>
      </c>
      <c r="G77" s="16">
        <f>IF(E77&gt;=F77,"Pass","Fail")</f>
        <v/>
      </c>
      <c r="H77" s="16">
        <f>Requests!J77</f>
        <v/>
      </c>
      <c r="I77" s="16">
        <f>IF(D77="Group",ROUNDUP(C77/50*Rules!$C$9,0),0)</f>
        <v/>
      </c>
      <c r="J77" s="16">
        <f>IF(D77="Self-study","N/A",IF(H77&gt;=I77,"Pass","Fail"))</f>
        <v/>
      </c>
      <c r="K77" s="16">
        <f>Requests!G77</f>
        <v/>
      </c>
      <c r="L77" s="16">
        <f>IF(K77&lt;&gt;"","Pass","Fail – Missing FOS")</f>
        <v/>
      </c>
      <c r="M77" s="16">
        <f>Requests!H77</f>
        <v/>
      </c>
      <c r="N77" s="16">
        <f>IF(OR(M77="Basic",M77="Intermediate",M77="Advanced"),"Pass","Fail")</f>
        <v/>
      </c>
      <c r="O77" s="16">
        <f>Requests!K77</f>
        <v/>
      </c>
      <c r="P77" s="16">
        <f>IF(D77="Self-study",IF(O77&gt;=ROUNDUP(Q77*Rules!$C$12,0),"Pass","Fail"),"N/A")</f>
        <v/>
      </c>
      <c r="Q77" s="17">
        <f>IF(C77&lt;25,0,FLOOR(C77/50,0.5))</f>
        <v/>
      </c>
      <c r="R77" s="17">
        <f>IF(C77&lt;50,0,ROUNDDOWN(C77/50*5,0)/5)</f>
        <v/>
      </c>
      <c r="S77" s="16">
        <f>IF(AND(Requests!O77&lt;&gt;"Approved",Requests!M77&lt;TODAY()),"Overdue",IF(Requests!M77-TODAY()&lt;=Rules!$C$26,"Due Soon","On Track"))</f>
        <v/>
      </c>
      <c r="T77" s="16">
        <f>IF(AND(G77="Pass",J77&lt;&gt;"Fail",L77="Pass",N77="Pass",P77&lt;&gt;"Fail"),"Approved",IF(OR(L77="Fail – Missing FOS",N77="Fail"),"Escalate","Needs Correction"))</f>
        <v/>
      </c>
      <c r="U77" s="16">
        <f>IFERROR(IF(G77&lt;&gt;"Pass","Insufficient learning objectives; ","")&amp;IF(AND(J77="Fail",D77="Group"),"Missing attendance checks; ","")&amp;IF(L77&lt;&gt;"Pass","Missing field of study; ","")&amp;IF(N77&lt;&gt;"Pass","Invalid program level; ","")&amp;IF(AND(P77="Fail",D77="Self-study"),"Insufficient review questions; ",""),"Check data")</f>
        <v/>
      </c>
    </row>
    <row r="78">
      <c r="A78" s="16">
        <f>Requests!A78</f>
        <v/>
      </c>
      <c r="B78" s="16">
        <f>Requests!B78</f>
        <v/>
      </c>
      <c r="C78" s="16">
        <f>Requests!F78</f>
        <v/>
      </c>
      <c r="D78" s="16">
        <f>Requests!E78</f>
        <v/>
      </c>
      <c r="E78" s="16">
        <f>Requests!I78</f>
        <v/>
      </c>
      <c r="F78" s="16">
        <f>ROUNDUP(C78/50*Rules!$C$5,0)</f>
        <v/>
      </c>
      <c r="G78" s="16">
        <f>IF(E78&gt;=F78,"Pass","Fail")</f>
        <v/>
      </c>
      <c r="H78" s="16">
        <f>Requests!J78</f>
        <v/>
      </c>
      <c r="I78" s="16">
        <f>IF(D78="Group",ROUNDUP(C78/50*Rules!$C$9,0),0)</f>
        <v/>
      </c>
      <c r="J78" s="16">
        <f>IF(D78="Self-study","N/A",IF(H78&gt;=I78,"Pass","Fail"))</f>
        <v/>
      </c>
      <c r="K78" s="16">
        <f>Requests!G78</f>
        <v/>
      </c>
      <c r="L78" s="16">
        <f>IF(K78&lt;&gt;"","Pass","Fail – Missing FOS")</f>
        <v/>
      </c>
      <c r="M78" s="16">
        <f>Requests!H78</f>
        <v/>
      </c>
      <c r="N78" s="16">
        <f>IF(OR(M78="Basic",M78="Intermediate",M78="Advanced"),"Pass","Fail")</f>
        <v/>
      </c>
      <c r="O78" s="16">
        <f>Requests!K78</f>
        <v/>
      </c>
      <c r="P78" s="16">
        <f>IF(D78="Self-study",IF(O78&gt;=ROUNDUP(Q78*Rules!$C$12,0),"Pass","Fail"),"N/A")</f>
        <v/>
      </c>
      <c r="Q78" s="17">
        <f>IF(C78&lt;25,0,FLOOR(C78/50,0.5))</f>
        <v/>
      </c>
      <c r="R78" s="17">
        <f>IF(C78&lt;50,0,ROUNDDOWN(C78/50*5,0)/5)</f>
        <v/>
      </c>
      <c r="S78" s="16">
        <f>IF(AND(Requests!O78&lt;&gt;"Approved",Requests!M78&lt;TODAY()),"Overdue",IF(Requests!M78-TODAY()&lt;=Rules!$C$26,"Due Soon","On Track"))</f>
        <v/>
      </c>
      <c r="T78" s="16">
        <f>IF(AND(G78="Pass",J78&lt;&gt;"Fail",L78="Pass",N78="Pass",P78&lt;&gt;"Fail"),"Approved",IF(OR(L78="Fail – Missing FOS",N78="Fail"),"Escalate","Needs Correction"))</f>
        <v/>
      </c>
      <c r="U78" s="16">
        <f>IFERROR(IF(G78&lt;&gt;"Pass","Insufficient learning objectives; ","")&amp;IF(AND(J78="Fail",D78="Group"),"Missing attendance checks; ","")&amp;IF(L78&lt;&gt;"Pass","Missing field of study; ","")&amp;IF(N78&lt;&gt;"Pass","Invalid program level; ","")&amp;IF(AND(P78="Fail",D78="Self-study"),"Insufficient review questions; ",""),"Check data")</f>
        <v/>
      </c>
    </row>
    <row r="79">
      <c r="A79" s="16">
        <f>Requests!A79</f>
        <v/>
      </c>
      <c r="B79" s="16">
        <f>Requests!B79</f>
        <v/>
      </c>
      <c r="C79" s="16">
        <f>Requests!F79</f>
        <v/>
      </c>
      <c r="D79" s="16">
        <f>Requests!E79</f>
        <v/>
      </c>
      <c r="E79" s="16">
        <f>Requests!I79</f>
        <v/>
      </c>
      <c r="F79" s="16">
        <f>ROUNDUP(C79/50*Rules!$C$5,0)</f>
        <v/>
      </c>
      <c r="G79" s="16">
        <f>IF(E79&gt;=F79,"Pass","Fail")</f>
        <v/>
      </c>
      <c r="H79" s="16">
        <f>Requests!J79</f>
        <v/>
      </c>
      <c r="I79" s="16">
        <f>IF(D79="Group",ROUNDUP(C79/50*Rules!$C$9,0),0)</f>
        <v/>
      </c>
      <c r="J79" s="16">
        <f>IF(D79="Self-study","N/A",IF(H79&gt;=I79,"Pass","Fail"))</f>
        <v/>
      </c>
      <c r="K79" s="16">
        <f>Requests!G79</f>
        <v/>
      </c>
      <c r="L79" s="16">
        <f>IF(K79&lt;&gt;"","Pass","Fail – Missing FOS")</f>
        <v/>
      </c>
      <c r="M79" s="16">
        <f>Requests!H79</f>
        <v/>
      </c>
      <c r="N79" s="16">
        <f>IF(OR(M79="Basic",M79="Intermediate",M79="Advanced"),"Pass","Fail")</f>
        <v/>
      </c>
      <c r="O79" s="16">
        <f>Requests!K79</f>
        <v/>
      </c>
      <c r="P79" s="16">
        <f>IF(D79="Self-study",IF(O79&gt;=ROUNDUP(Q79*Rules!$C$12,0),"Pass","Fail"),"N/A")</f>
        <v/>
      </c>
      <c r="Q79" s="17">
        <f>IF(C79&lt;25,0,FLOOR(C79/50,0.5))</f>
        <v/>
      </c>
      <c r="R79" s="17">
        <f>IF(C79&lt;50,0,ROUNDDOWN(C79/50*5,0)/5)</f>
        <v/>
      </c>
      <c r="S79" s="16">
        <f>IF(AND(Requests!O79&lt;&gt;"Approved",Requests!M79&lt;TODAY()),"Overdue",IF(Requests!M79-TODAY()&lt;=Rules!$C$26,"Due Soon","On Track"))</f>
        <v/>
      </c>
      <c r="T79" s="16">
        <f>IF(AND(G79="Pass",J79&lt;&gt;"Fail",L79="Pass",N79="Pass",P79&lt;&gt;"Fail"),"Approved",IF(OR(L79="Fail – Missing FOS",N79="Fail"),"Escalate","Needs Correction"))</f>
        <v/>
      </c>
      <c r="U79" s="16">
        <f>IFERROR(IF(G79&lt;&gt;"Pass","Insufficient learning objectives; ","")&amp;IF(AND(J79="Fail",D79="Group"),"Missing attendance checks; ","")&amp;IF(L79&lt;&gt;"Pass","Missing field of study; ","")&amp;IF(N79&lt;&gt;"Pass","Invalid program level; ","")&amp;IF(AND(P79="Fail",D79="Self-study"),"Insufficient review questions; ",""),"Check data")</f>
        <v/>
      </c>
    </row>
    <row r="80">
      <c r="A80" s="16">
        <f>Requests!A80</f>
        <v/>
      </c>
      <c r="B80" s="16">
        <f>Requests!B80</f>
        <v/>
      </c>
      <c r="C80" s="16">
        <f>Requests!F80</f>
        <v/>
      </c>
      <c r="D80" s="16">
        <f>Requests!E80</f>
        <v/>
      </c>
      <c r="E80" s="16">
        <f>Requests!I80</f>
        <v/>
      </c>
      <c r="F80" s="16">
        <f>ROUNDUP(C80/50*Rules!$C$5,0)</f>
        <v/>
      </c>
      <c r="G80" s="16">
        <f>IF(E80&gt;=F80,"Pass","Fail")</f>
        <v/>
      </c>
      <c r="H80" s="16">
        <f>Requests!J80</f>
        <v/>
      </c>
      <c r="I80" s="16">
        <f>IF(D80="Group",ROUNDUP(C80/50*Rules!$C$9,0),0)</f>
        <v/>
      </c>
      <c r="J80" s="16">
        <f>IF(D80="Self-study","N/A",IF(H80&gt;=I80,"Pass","Fail"))</f>
        <v/>
      </c>
      <c r="K80" s="16">
        <f>Requests!G80</f>
        <v/>
      </c>
      <c r="L80" s="16">
        <f>IF(K80&lt;&gt;"","Pass","Fail – Missing FOS")</f>
        <v/>
      </c>
      <c r="M80" s="16">
        <f>Requests!H80</f>
        <v/>
      </c>
      <c r="N80" s="16">
        <f>IF(OR(M80="Basic",M80="Intermediate",M80="Advanced"),"Pass","Fail")</f>
        <v/>
      </c>
      <c r="O80" s="16">
        <f>Requests!K80</f>
        <v/>
      </c>
      <c r="P80" s="16">
        <f>IF(D80="Self-study",IF(O80&gt;=ROUNDUP(Q80*Rules!$C$12,0),"Pass","Fail"),"N/A")</f>
        <v/>
      </c>
      <c r="Q80" s="17">
        <f>IF(C80&lt;25,0,FLOOR(C80/50,0.5))</f>
        <v/>
      </c>
      <c r="R80" s="17">
        <f>IF(C80&lt;50,0,ROUNDDOWN(C80/50*5,0)/5)</f>
        <v/>
      </c>
      <c r="S80" s="16">
        <f>IF(AND(Requests!O80&lt;&gt;"Approved",Requests!M80&lt;TODAY()),"Overdue",IF(Requests!M80-TODAY()&lt;=Rules!$C$26,"Due Soon","On Track"))</f>
        <v/>
      </c>
      <c r="T80" s="16">
        <f>IF(AND(G80="Pass",J80&lt;&gt;"Fail",L80="Pass",N80="Pass",P80&lt;&gt;"Fail"),"Approved",IF(OR(L80="Fail – Missing FOS",N80="Fail"),"Escalate","Needs Correction"))</f>
        <v/>
      </c>
      <c r="U80" s="16">
        <f>IFERROR(IF(G80&lt;&gt;"Pass","Insufficient learning objectives; ","")&amp;IF(AND(J80="Fail",D80="Group"),"Missing attendance checks; ","")&amp;IF(L80&lt;&gt;"Pass","Missing field of study; ","")&amp;IF(N80&lt;&gt;"Pass","Invalid program level; ","")&amp;IF(AND(P80="Fail",D80="Self-study"),"Insufficient review questions; ",""),"Check data")</f>
        <v/>
      </c>
    </row>
    <row r="81">
      <c r="A81" s="16">
        <f>Requests!A81</f>
        <v/>
      </c>
      <c r="B81" s="16">
        <f>Requests!B81</f>
        <v/>
      </c>
      <c r="C81" s="16">
        <f>Requests!F81</f>
        <v/>
      </c>
      <c r="D81" s="16">
        <f>Requests!E81</f>
        <v/>
      </c>
      <c r="E81" s="16">
        <f>Requests!I81</f>
        <v/>
      </c>
      <c r="F81" s="16">
        <f>ROUNDUP(C81/50*Rules!$C$5,0)</f>
        <v/>
      </c>
      <c r="G81" s="16">
        <f>IF(E81&gt;=F81,"Pass","Fail")</f>
        <v/>
      </c>
      <c r="H81" s="16">
        <f>Requests!J81</f>
        <v/>
      </c>
      <c r="I81" s="16">
        <f>IF(D81="Group",ROUNDUP(C81/50*Rules!$C$9,0),0)</f>
        <v/>
      </c>
      <c r="J81" s="16">
        <f>IF(D81="Self-study","N/A",IF(H81&gt;=I81,"Pass","Fail"))</f>
        <v/>
      </c>
      <c r="K81" s="16">
        <f>Requests!G81</f>
        <v/>
      </c>
      <c r="L81" s="16">
        <f>IF(K81&lt;&gt;"","Pass","Fail – Missing FOS")</f>
        <v/>
      </c>
      <c r="M81" s="16">
        <f>Requests!H81</f>
        <v/>
      </c>
      <c r="N81" s="16">
        <f>IF(OR(M81="Basic",M81="Intermediate",M81="Advanced"),"Pass","Fail")</f>
        <v/>
      </c>
      <c r="O81" s="16">
        <f>Requests!K81</f>
        <v/>
      </c>
      <c r="P81" s="16">
        <f>IF(D81="Self-study",IF(O81&gt;=ROUNDUP(Q81*Rules!$C$12,0),"Pass","Fail"),"N/A")</f>
        <v/>
      </c>
      <c r="Q81" s="17">
        <f>IF(C81&lt;25,0,FLOOR(C81/50,0.5))</f>
        <v/>
      </c>
      <c r="R81" s="17">
        <f>IF(C81&lt;50,0,ROUNDDOWN(C81/50*5,0)/5)</f>
        <v/>
      </c>
      <c r="S81" s="16">
        <f>IF(AND(Requests!O81&lt;&gt;"Approved",Requests!M81&lt;TODAY()),"Overdue",IF(Requests!M81-TODAY()&lt;=Rules!$C$26,"Due Soon","On Track"))</f>
        <v/>
      </c>
      <c r="T81" s="16">
        <f>IF(AND(G81="Pass",J81&lt;&gt;"Fail",L81="Pass",N81="Pass",P81&lt;&gt;"Fail"),"Approved",IF(OR(L81="Fail – Missing FOS",N81="Fail"),"Escalate","Needs Correction"))</f>
        <v/>
      </c>
      <c r="U81" s="16">
        <f>IFERROR(IF(G81&lt;&gt;"Pass","Insufficient learning objectives; ","")&amp;IF(AND(J81="Fail",D81="Group"),"Missing attendance checks; ","")&amp;IF(L81&lt;&gt;"Pass","Missing field of study; ","")&amp;IF(N81&lt;&gt;"Pass","Invalid program level; ","")&amp;IF(AND(P81="Fail",D81="Self-study"),"Insufficient review questions; ",""),"Check data")</f>
        <v/>
      </c>
    </row>
    <row r="82">
      <c r="A82" s="16">
        <f>Requests!A82</f>
        <v/>
      </c>
      <c r="B82" s="16">
        <f>Requests!B82</f>
        <v/>
      </c>
      <c r="C82" s="16">
        <f>Requests!F82</f>
        <v/>
      </c>
      <c r="D82" s="16">
        <f>Requests!E82</f>
        <v/>
      </c>
      <c r="E82" s="16">
        <f>Requests!I82</f>
        <v/>
      </c>
      <c r="F82" s="16">
        <f>ROUNDUP(C82/50*Rules!$C$5,0)</f>
        <v/>
      </c>
      <c r="G82" s="16">
        <f>IF(E82&gt;=F82,"Pass","Fail")</f>
        <v/>
      </c>
      <c r="H82" s="16">
        <f>Requests!J82</f>
        <v/>
      </c>
      <c r="I82" s="16">
        <f>IF(D82="Group",ROUNDUP(C82/50*Rules!$C$9,0),0)</f>
        <v/>
      </c>
      <c r="J82" s="16">
        <f>IF(D82="Self-study","N/A",IF(H82&gt;=I82,"Pass","Fail"))</f>
        <v/>
      </c>
      <c r="K82" s="16">
        <f>Requests!G82</f>
        <v/>
      </c>
      <c r="L82" s="16">
        <f>IF(K82&lt;&gt;"","Pass","Fail – Missing FOS")</f>
        <v/>
      </c>
      <c r="M82" s="16">
        <f>Requests!H82</f>
        <v/>
      </c>
      <c r="N82" s="16">
        <f>IF(OR(M82="Basic",M82="Intermediate",M82="Advanced"),"Pass","Fail")</f>
        <v/>
      </c>
      <c r="O82" s="16">
        <f>Requests!K82</f>
        <v/>
      </c>
      <c r="P82" s="16">
        <f>IF(D82="Self-study",IF(O82&gt;=ROUNDUP(Q82*Rules!$C$12,0),"Pass","Fail"),"N/A")</f>
        <v/>
      </c>
      <c r="Q82" s="17">
        <f>IF(C82&lt;25,0,FLOOR(C82/50,0.5))</f>
        <v/>
      </c>
      <c r="R82" s="17">
        <f>IF(C82&lt;50,0,ROUNDDOWN(C82/50*5,0)/5)</f>
        <v/>
      </c>
      <c r="S82" s="16">
        <f>IF(AND(Requests!O82&lt;&gt;"Approved",Requests!M82&lt;TODAY()),"Overdue",IF(Requests!M82-TODAY()&lt;=Rules!$C$26,"Due Soon","On Track"))</f>
        <v/>
      </c>
      <c r="T82" s="16">
        <f>IF(AND(G82="Pass",J82&lt;&gt;"Fail",L82="Pass",N82="Pass",P82&lt;&gt;"Fail"),"Approved",IF(OR(L82="Fail – Missing FOS",N82="Fail"),"Escalate","Needs Correction"))</f>
        <v/>
      </c>
      <c r="U82" s="16">
        <f>IFERROR(IF(G82&lt;&gt;"Pass","Insufficient learning objectives; ","")&amp;IF(AND(J82="Fail",D82="Group"),"Missing attendance checks; ","")&amp;IF(L82&lt;&gt;"Pass","Missing field of study; ","")&amp;IF(N82&lt;&gt;"Pass","Invalid program level; ","")&amp;IF(AND(P82="Fail",D82="Self-study"),"Insufficient review questions; ",""),"Check data")</f>
        <v/>
      </c>
    </row>
    <row r="83">
      <c r="A83" s="16">
        <f>Requests!A83</f>
        <v/>
      </c>
      <c r="B83" s="16">
        <f>Requests!B83</f>
        <v/>
      </c>
      <c r="C83" s="16">
        <f>Requests!F83</f>
        <v/>
      </c>
      <c r="D83" s="16">
        <f>Requests!E83</f>
        <v/>
      </c>
      <c r="E83" s="16">
        <f>Requests!I83</f>
        <v/>
      </c>
      <c r="F83" s="16">
        <f>ROUNDUP(C83/50*Rules!$C$5,0)</f>
        <v/>
      </c>
      <c r="G83" s="16">
        <f>IF(E83&gt;=F83,"Pass","Fail")</f>
        <v/>
      </c>
      <c r="H83" s="16">
        <f>Requests!J83</f>
        <v/>
      </c>
      <c r="I83" s="16">
        <f>IF(D83="Group",ROUNDUP(C83/50*Rules!$C$9,0),0)</f>
        <v/>
      </c>
      <c r="J83" s="16">
        <f>IF(D83="Self-study","N/A",IF(H83&gt;=I83,"Pass","Fail"))</f>
        <v/>
      </c>
      <c r="K83" s="16">
        <f>Requests!G83</f>
        <v/>
      </c>
      <c r="L83" s="16">
        <f>IF(K83&lt;&gt;"","Pass","Fail – Missing FOS")</f>
        <v/>
      </c>
      <c r="M83" s="16">
        <f>Requests!H83</f>
        <v/>
      </c>
      <c r="N83" s="16">
        <f>IF(OR(M83="Basic",M83="Intermediate",M83="Advanced"),"Pass","Fail")</f>
        <v/>
      </c>
      <c r="O83" s="16">
        <f>Requests!K83</f>
        <v/>
      </c>
      <c r="P83" s="16">
        <f>IF(D83="Self-study",IF(O83&gt;=ROUNDUP(Q83*Rules!$C$12,0),"Pass","Fail"),"N/A")</f>
        <v/>
      </c>
      <c r="Q83" s="17">
        <f>IF(C83&lt;25,0,FLOOR(C83/50,0.5))</f>
        <v/>
      </c>
      <c r="R83" s="17">
        <f>IF(C83&lt;50,0,ROUNDDOWN(C83/50*5,0)/5)</f>
        <v/>
      </c>
      <c r="S83" s="16">
        <f>IF(AND(Requests!O83&lt;&gt;"Approved",Requests!M83&lt;TODAY()),"Overdue",IF(Requests!M83-TODAY()&lt;=Rules!$C$26,"Due Soon","On Track"))</f>
        <v/>
      </c>
      <c r="T83" s="16">
        <f>IF(AND(G83="Pass",J83&lt;&gt;"Fail",L83="Pass",N83="Pass",P83&lt;&gt;"Fail"),"Approved",IF(OR(L83="Fail – Missing FOS",N83="Fail"),"Escalate","Needs Correction"))</f>
        <v/>
      </c>
      <c r="U83" s="16">
        <f>IFERROR(IF(G83&lt;&gt;"Pass","Insufficient learning objectives; ","")&amp;IF(AND(J83="Fail",D83="Group"),"Missing attendance checks; ","")&amp;IF(L83&lt;&gt;"Pass","Missing field of study; ","")&amp;IF(N83&lt;&gt;"Pass","Invalid program level; ","")&amp;IF(AND(P83="Fail",D83="Self-study"),"Insufficient review questions; ",""),"Check data")</f>
        <v/>
      </c>
    </row>
    <row r="84">
      <c r="A84" s="16">
        <f>Requests!A84</f>
        <v/>
      </c>
      <c r="B84" s="16">
        <f>Requests!B84</f>
        <v/>
      </c>
      <c r="C84" s="16">
        <f>Requests!F84</f>
        <v/>
      </c>
      <c r="D84" s="16">
        <f>Requests!E84</f>
        <v/>
      </c>
      <c r="E84" s="16">
        <f>Requests!I84</f>
        <v/>
      </c>
      <c r="F84" s="16">
        <f>ROUNDUP(C84/50*Rules!$C$5,0)</f>
        <v/>
      </c>
      <c r="G84" s="16">
        <f>IF(E84&gt;=F84,"Pass","Fail")</f>
        <v/>
      </c>
      <c r="H84" s="16">
        <f>Requests!J84</f>
        <v/>
      </c>
      <c r="I84" s="16">
        <f>IF(D84="Group",ROUNDUP(C84/50*Rules!$C$9,0),0)</f>
        <v/>
      </c>
      <c r="J84" s="16">
        <f>IF(D84="Self-study","N/A",IF(H84&gt;=I84,"Pass","Fail"))</f>
        <v/>
      </c>
      <c r="K84" s="16">
        <f>Requests!G84</f>
        <v/>
      </c>
      <c r="L84" s="16">
        <f>IF(K84&lt;&gt;"","Pass","Fail – Missing FOS")</f>
        <v/>
      </c>
      <c r="M84" s="16">
        <f>Requests!H84</f>
        <v/>
      </c>
      <c r="N84" s="16">
        <f>IF(OR(M84="Basic",M84="Intermediate",M84="Advanced"),"Pass","Fail")</f>
        <v/>
      </c>
      <c r="O84" s="16">
        <f>Requests!K84</f>
        <v/>
      </c>
      <c r="P84" s="16">
        <f>IF(D84="Self-study",IF(O84&gt;=ROUNDUP(Q84*Rules!$C$12,0),"Pass","Fail"),"N/A")</f>
        <v/>
      </c>
      <c r="Q84" s="17">
        <f>IF(C84&lt;25,0,FLOOR(C84/50,0.5))</f>
        <v/>
      </c>
      <c r="R84" s="17">
        <f>IF(C84&lt;50,0,ROUNDDOWN(C84/50*5,0)/5)</f>
        <v/>
      </c>
      <c r="S84" s="16">
        <f>IF(AND(Requests!O84&lt;&gt;"Approved",Requests!M84&lt;TODAY()),"Overdue",IF(Requests!M84-TODAY()&lt;=Rules!$C$26,"Due Soon","On Track"))</f>
        <v/>
      </c>
      <c r="T84" s="16">
        <f>IF(AND(G84="Pass",J84&lt;&gt;"Fail",L84="Pass",N84="Pass",P84&lt;&gt;"Fail"),"Approved",IF(OR(L84="Fail – Missing FOS",N84="Fail"),"Escalate","Needs Correction"))</f>
        <v/>
      </c>
      <c r="U84" s="16">
        <f>IFERROR(IF(G84&lt;&gt;"Pass","Insufficient learning objectives; ","")&amp;IF(AND(J84="Fail",D84="Group"),"Missing attendance checks; ","")&amp;IF(L84&lt;&gt;"Pass","Missing field of study; ","")&amp;IF(N84&lt;&gt;"Pass","Invalid program level; ","")&amp;IF(AND(P84="Fail",D84="Self-study"),"Insufficient review questions; ",""),"Check data")</f>
        <v/>
      </c>
    </row>
    <row r="85">
      <c r="A85" s="16">
        <f>Requests!A85</f>
        <v/>
      </c>
      <c r="B85" s="16">
        <f>Requests!B85</f>
        <v/>
      </c>
      <c r="C85" s="16">
        <f>Requests!F85</f>
        <v/>
      </c>
      <c r="D85" s="16">
        <f>Requests!E85</f>
        <v/>
      </c>
      <c r="E85" s="16">
        <f>Requests!I85</f>
        <v/>
      </c>
      <c r="F85" s="16">
        <f>ROUNDUP(C85/50*Rules!$C$5,0)</f>
        <v/>
      </c>
      <c r="G85" s="16">
        <f>IF(E85&gt;=F85,"Pass","Fail")</f>
        <v/>
      </c>
      <c r="H85" s="16">
        <f>Requests!J85</f>
        <v/>
      </c>
      <c r="I85" s="16">
        <f>IF(D85="Group",ROUNDUP(C85/50*Rules!$C$9,0),0)</f>
        <v/>
      </c>
      <c r="J85" s="16">
        <f>IF(D85="Self-study","N/A",IF(H85&gt;=I85,"Pass","Fail"))</f>
        <v/>
      </c>
      <c r="K85" s="16">
        <f>Requests!G85</f>
        <v/>
      </c>
      <c r="L85" s="16">
        <f>IF(K85&lt;&gt;"","Pass","Fail – Missing FOS")</f>
        <v/>
      </c>
      <c r="M85" s="16">
        <f>Requests!H85</f>
        <v/>
      </c>
      <c r="N85" s="16">
        <f>IF(OR(M85="Basic",M85="Intermediate",M85="Advanced"),"Pass","Fail")</f>
        <v/>
      </c>
      <c r="O85" s="16">
        <f>Requests!K85</f>
        <v/>
      </c>
      <c r="P85" s="16">
        <f>IF(D85="Self-study",IF(O85&gt;=ROUNDUP(Q85*Rules!$C$12,0),"Pass","Fail"),"N/A")</f>
        <v/>
      </c>
      <c r="Q85" s="17">
        <f>IF(C85&lt;25,0,FLOOR(C85/50,0.5))</f>
        <v/>
      </c>
      <c r="R85" s="17">
        <f>IF(C85&lt;50,0,ROUNDDOWN(C85/50*5,0)/5)</f>
        <v/>
      </c>
      <c r="S85" s="16">
        <f>IF(AND(Requests!O85&lt;&gt;"Approved",Requests!M85&lt;TODAY()),"Overdue",IF(Requests!M85-TODAY()&lt;=Rules!$C$26,"Due Soon","On Track"))</f>
        <v/>
      </c>
      <c r="T85" s="16">
        <f>IF(AND(G85="Pass",J85&lt;&gt;"Fail",L85="Pass",N85="Pass",P85&lt;&gt;"Fail"),"Approved",IF(OR(L85="Fail – Missing FOS",N85="Fail"),"Escalate","Needs Correction"))</f>
        <v/>
      </c>
      <c r="U85" s="16">
        <f>IFERROR(IF(G85&lt;&gt;"Pass","Insufficient learning objectives; ","")&amp;IF(AND(J85="Fail",D85="Group"),"Missing attendance checks; ","")&amp;IF(L85&lt;&gt;"Pass","Missing field of study; ","")&amp;IF(N85&lt;&gt;"Pass","Invalid program level; ","")&amp;IF(AND(P85="Fail",D85="Self-study"),"Insufficient review questions; ",""),"Check data")</f>
        <v/>
      </c>
    </row>
    <row r="86">
      <c r="A86" s="16">
        <f>Requests!A86</f>
        <v/>
      </c>
      <c r="B86" s="16">
        <f>Requests!B86</f>
        <v/>
      </c>
      <c r="C86" s="16">
        <f>Requests!F86</f>
        <v/>
      </c>
      <c r="D86" s="16">
        <f>Requests!E86</f>
        <v/>
      </c>
      <c r="E86" s="16">
        <f>Requests!I86</f>
        <v/>
      </c>
      <c r="F86" s="16">
        <f>ROUNDUP(C86/50*Rules!$C$5,0)</f>
        <v/>
      </c>
      <c r="G86" s="16">
        <f>IF(E86&gt;=F86,"Pass","Fail")</f>
        <v/>
      </c>
      <c r="H86" s="16">
        <f>Requests!J86</f>
        <v/>
      </c>
      <c r="I86" s="16">
        <f>IF(D86="Group",ROUNDUP(C86/50*Rules!$C$9,0),0)</f>
        <v/>
      </c>
      <c r="J86" s="16">
        <f>IF(D86="Self-study","N/A",IF(H86&gt;=I86,"Pass","Fail"))</f>
        <v/>
      </c>
      <c r="K86" s="16">
        <f>Requests!G86</f>
        <v/>
      </c>
      <c r="L86" s="16">
        <f>IF(K86&lt;&gt;"","Pass","Fail – Missing FOS")</f>
        <v/>
      </c>
      <c r="M86" s="16">
        <f>Requests!H86</f>
        <v/>
      </c>
      <c r="N86" s="16">
        <f>IF(OR(M86="Basic",M86="Intermediate",M86="Advanced"),"Pass","Fail")</f>
        <v/>
      </c>
      <c r="O86" s="16">
        <f>Requests!K86</f>
        <v/>
      </c>
      <c r="P86" s="16">
        <f>IF(D86="Self-study",IF(O86&gt;=ROUNDUP(Q86*Rules!$C$12,0),"Pass","Fail"),"N/A")</f>
        <v/>
      </c>
      <c r="Q86" s="17">
        <f>IF(C86&lt;25,0,FLOOR(C86/50,0.5))</f>
        <v/>
      </c>
      <c r="R86" s="17">
        <f>IF(C86&lt;50,0,ROUNDDOWN(C86/50*5,0)/5)</f>
        <v/>
      </c>
      <c r="S86" s="16">
        <f>IF(AND(Requests!O86&lt;&gt;"Approved",Requests!M86&lt;TODAY()),"Overdue",IF(Requests!M86-TODAY()&lt;=Rules!$C$26,"Due Soon","On Track"))</f>
        <v/>
      </c>
      <c r="T86" s="16">
        <f>IF(AND(G86="Pass",J86&lt;&gt;"Fail",L86="Pass",N86="Pass",P86&lt;&gt;"Fail"),"Approved",IF(OR(L86="Fail – Missing FOS",N86="Fail"),"Escalate","Needs Correction"))</f>
        <v/>
      </c>
      <c r="U86" s="16">
        <f>IFERROR(IF(G86&lt;&gt;"Pass","Insufficient learning objectives; ","")&amp;IF(AND(J86="Fail",D86="Group"),"Missing attendance checks; ","")&amp;IF(L86&lt;&gt;"Pass","Missing field of study; ","")&amp;IF(N86&lt;&gt;"Pass","Invalid program level; ","")&amp;IF(AND(P86="Fail",D86="Self-study"),"Insufficient review questions; ",""),"Check data")</f>
        <v/>
      </c>
    </row>
    <row r="87">
      <c r="A87" s="16">
        <f>Requests!A87</f>
        <v/>
      </c>
      <c r="B87" s="16">
        <f>Requests!B87</f>
        <v/>
      </c>
      <c r="C87" s="16">
        <f>Requests!F87</f>
        <v/>
      </c>
      <c r="D87" s="16">
        <f>Requests!E87</f>
        <v/>
      </c>
      <c r="E87" s="16">
        <f>Requests!I87</f>
        <v/>
      </c>
      <c r="F87" s="16">
        <f>ROUNDUP(C87/50*Rules!$C$5,0)</f>
        <v/>
      </c>
      <c r="G87" s="16">
        <f>IF(E87&gt;=F87,"Pass","Fail")</f>
        <v/>
      </c>
      <c r="H87" s="16">
        <f>Requests!J87</f>
        <v/>
      </c>
      <c r="I87" s="16">
        <f>IF(D87="Group",ROUNDUP(C87/50*Rules!$C$9,0),0)</f>
        <v/>
      </c>
      <c r="J87" s="16">
        <f>IF(D87="Self-study","N/A",IF(H87&gt;=I87,"Pass","Fail"))</f>
        <v/>
      </c>
      <c r="K87" s="16">
        <f>Requests!G87</f>
        <v/>
      </c>
      <c r="L87" s="16">
        <f>IF(K87&lt;&gt;"","Pass","Fail – Missing FOS")</f>
        <v/>
      </c>
      <c r="M87" s="16">
        <f>Requests!H87</f>
        <v/>
      </c>
      <c r="N87" s="16">
        <f>IF(OR(M87="Basic",M87="Intermediate",M87="Advanced"),"Pass","Fail")</f>
        <v/>
      </c>
      <c r="O87" s="16">
        <f>Requests!K87</f>
        <v/>
      </c>
      <c r="P87" s="16">
        <f>IF(D87="Self-study",IF(O87&gt;=ROUNDUP(Q87*Rules!$C$12,0),"Pass","Fail"),"N/A")</f>
        <v/>
      </c>
      <c r="Q87" s="17">
        <f>IF(C87&lt;25,0,FLOOR(C87/50,0.5))</f>
        <v/>
      </c>
      <c r="R87" s="17">
        <f>IF(C87&lt;50,0,ROUNDDOWN(C87/50*5,0)/5)</f>
        <v/>
      </c>
      <c r="S87" s="16">
        <f>IF(AND(Requests!O87&lt;&gt;"Approved",Requests!M87&lt;TODAY()),"Overdue",IF(Requests!M87-TODAY()&lt;=Rules!$C$26,"Due Soon","On Track"))</f>
        <v/>
      </c>
      <c r="T87" s="16">
        <f>IF(AND(G87="Pass",J87&lt;&gt;"Fail",L87="Pass",N87="Pass",P87&lt;&gt;"Fail"),"Approved",IF(OR(L87="Fail – Missing FOS",N87="Fail"),"Escalate","Needs Correction"))</f>
        <v/>
      </c>
      <c r="U87" s="16">
        <f>IFERROR(IF(G87&lt;&gt;"Pass","Insufficient learning objectives; ","")&amp;IF(AND(J87="Fail",D87="Group"),"Missing attendance checks; ","")&amp;IF(L87&lt;&gt;"Pass","Missing field of study; ","")&amp;IF(N87&lt;&gt;"Pass","Invalid program level; ","")&amp;IF(AND(P87="Fail",D87="Self-study"),"Insufficient review questions; ",""),"Check data")</f>
        <v/>
      </c>
    </row>
    <row r="88">
      <c r="A88" s="16">
        <f>Requests!A88</f>
        <v/>
      </c>
      <c r="B88" s="16">
        <f>Requests!B88</f>
        <v/>
      </c>
      <c r="C88" s="16">
        <f>Requests!F88</f>
        <v/>
      </c>
      <c r="D88" s="16">
        <f>Requests!E88</f>
        <v/>
      </c>
      <c r="E88" s="16">
        <f>Requests!I88</f>
        <v/>
      </c>
      <c r="F88" s="16">
        <f>ROUNDUP(C88/50*Rules!$C$5,0)</f>
        <v/>
      </c>
      <c r="G88" s="16">
        <f>IF(E88&gt;=F88,"Pass","Fail")</f>
        <v/>
      </c>
      <c r="H88" s="16">
        <f>Requests!J88</f>
        <v/>
      </c>
      <c r="I88" s="16">
        <f>IF(D88="Group",ROUNDUP(C88/50*Rules!$C$9,0),0)</f>
        <v/>
      </c>
      <c r="J88" s="16">
        <f>IF(D88="Self-study","N/A",IF(H88&gt;=I88,"Pass","Fail"))</f>
        <v/>
      </c>
      <c r="K88" s="16">
        <f>Requests!G88</f>
        <v/>
      </c>
      <c r="L88" s="16">
        <f>IF(K88&lt;&gt;"","Pass","Fail – Missing FOS")</f>
        <v/>
      </c>
      <c r="M88" s="16">
        <f>Requests!H88</f>
        <v/>
      </c>
      <c r="N88" s="16">
        <f>IF(OR(M88="Basic",M88="Intermediate",M88="Advanced"),"Pass","Fail")</f>
        <v/>
      </c>
      <c r="O88" s="16">
        <f>Requests!K88</f>
        <v/>
      </c>
      <c r="P88" s="16">
        <f>IF(D88="Self-study",IF(O88&gt;=ROUNDUP(Q88*Rules!$C$12,0),"Pass","Fail"),"N/A")</f>
        <v/>
      </c>
      <c r="Q88" s="17">
        <f>IF(C88&lt;25,0,FLOOR(C88/50,0.5))</f>
        <v/>
      </c>
      <c r="R88" s="17">
        <f>IF(C88&lt;50,0,ROUNDDOWN(C88/50*5,0)/5)</f>
        <v/>
      </c>
      <c r="S88" s="16">
        <f>IF(AND(Requests!O88&lt;&gt;"Approved",Requests!M88&lt;TODAY()),"Overdue",IF(Requests!M88-TODAY()&lt;=Rules!$C$26,"Due Soon","On Track"))</f>
        <v/>
      </c>
      <c r="T88" s="16">
        <f>IF(AND(G88="Pass",J88&lt;&gt;"Fail",L88="Pass",N88="Pass",P88&lt;&gt;"Fail"),"Approved",IF(OR(L88="Fail – Missing FOS",N88="Fail"),"Escalate","Needs Correction"))</f>
        <v/>
      </c>
      <c r="U88" s="16">
        <f>IFERROR(IF(G88&lt;&gt;"Pass","Insufficient learning objectives; ","")&amp;IF(AND(J88="Fail",D88="Group"),"Missing attendance checks; ","")&amp;IF(L88&lt;&gt;"Pass","Missing field of study; ","")&amp;IF(N88&lt;&gt;"Pass","Invalid program level; ","")&amp;IF(AND(P88="Fail",D88="Self-study"),"Insufficient review questions; ",""),"Check data")</f>
        <v/>
      </c>
    </row>
    <row r="89">
      <c r="A89" s="16">
        <f>Requests!A89</f>
        <v/>
      </c>
      <c r="B89" s="16">
        <f>Requests!B89</f>
        <v/>
      </c>
      <c r="C89" s="16">
        <f>Requests!F89</f>
        <v/>
      </c>
      <c r="D89" s="16">
        <f>Requests!E89</f>
        <v/>
      </c>
      <c r="E89" s="16">
        <f>Requests!I89</f>
        <v/>
      </c>
      <c r="F89" s="16">
        <f>ROUNDUP(C89/50*Rules!$C$5,0)</f>
        <v/>
      </c>
      <c r="G89" s="16">
        <f>IF(E89&gt;=F89,"Pass","Fail")</f>
        <v/>
      </c>
      <c r="H89" s="16">
        <f>Requests!J89</f>
        <v/>
      </c>
      <c r="I89" s="16">
        <f>IF(D89="Group",ROUNDUP(C89/50*Rules!$C$9,0),0)</f>
        <v/>
      </c>
      <c r="J89" s="16">
        <f>IF(D89="Self-study","N/A",IF(H89&gt;=I89,"Pass","Fail"))</f>
        <v/>
      </c>
      <c r="K89" s="16">
        <f>Requests!G89</f>
        <v/>
      </c>
      <c r="L89" s="16">
        <f>IF(K89&lt;&gt;"","Pass","Fail – Missing FOS")</f>
        <v/>
      </c>
      <c r="M89" s="16">
        <f>Requests!H89</f>
        <v/>
      </c>
      <c r="N89" s="16">
        <f>IF(OR(M89="Basic",M89="Intermediate",M89="Advanced"),"Pass","Fail")</f>
        <v/>
      </c>
      <c r="O89" s="16">
        <f>Requests!K89</f>
        <v/>
      </c>
      <c r="P89" s="16">
        <f>IF(D89="Self-study",IF(O89&gt;=ROUNDUP(Q89*Rules!$C$12,0),"Pass","Fail"),"N/A")</f>
        <v/>
      </c>
      <c r="Q89" s="17">
        <f>IF(C89&lt;25,0,FLOOR(C89/50,0.5))</f>
        <v/>
      </c>
      <c r="R89" s="17">
        <f>IF(C89&lt;50,0,ROUNDDOWN(C89/50*5,0)/5)</f>
        <v/>
      </c>
      <c r="S89" s="16">
        <f>IF(AND(Requests!O89&lt;&gt;"Approved",Requests!M89&lt;TODAY()),"Overdue",IF(Requests!M89-TODAY()&lt;=Rules!$C$26,"Due Soon","On Track"))</f>
        <v/>
      </c>
      <c r="T89" s="16">
        <f>IF(AND(G89="Pass",J89&lt;&gt;"Fail",L89="Pass",N89="Pass",P89&lt;&gt;"Fail"),"Approved",IF(OR(L89="Fail – Missing FOS",N89="Fail"),"Escalate","Needs Correction"))</f>
        <v/>
      </c>
      <c r="U89" s="16">
        <f>IFERROR(IF(G89&lt;&gt;"Pass","Insufficient learning objectives; ","")&amp;IF(AND(J89="Fail",D89="Group"),"Missing attendance checks; ","")&amp;IF(L89&lt;&gt;"Pass","Missing field of study; ","")&amp;IF(N89&lt;&gt;"Pass","Invalid program level; ","")&amp;IF(AND(P89="Fail",D89="Self-study"),"Insufficient review questions; ",""),"Check data")</f>
        <v/>
      </c>
    </row>
    <row r="90">
      <c r="A90" s="16">
        <f>Requests!A90</f>
        <v/>
      </c>
      <c r="B90" s="16">
        <f>Requests!B90</f>
        <v/>
      </c>
      <c r="C90" s="16">
        <f>Requests!F90</f>
        <v/>
      </c>
      <c r="D90" s="16">
        <f>Requests!E90</f>
        <v/>
      </c>
      <c r="E90" s="16">
        <f>Requests!I90</f>
        <v/>
      </c>
      <c r="F90" s="16">
        <f>ROUNDUP(C90/50*Rules!$C$5,0)</f>
        <v/>
      </c>
      <c r="G90" s="16">
        <f>IF(E90&gt;=F90,"Pass","Fail")</f>
        <v/>
      </c>
      <c r="H90" s="16">
        <f>Requests!J90</f>
        <v/>
      </c>
      <c r="I90" s="16">
        <f>IF(D90="Group",ROUNDUP(C90/50*Rules!$C$9,0),0)</f>
        <v/>
      </c>
      <c r="J90" s="16">
        <f>IF(D90="Self-study","N/A",IF(H90&gt;=I90,"Pass","Fail"))</f>
        <v/>
      </c>
      <c r="K90" s="16">
        <f>Requests!G90</f>
        <v/>
      </c>
      <c r="L90" s="16">
        <f>IF(K90&lt;&gt;"","Pass","Fail – Missing FOS")</f>
        <v/>
      </c>
      <c r="M90" s="16">
        <f>Requests!H90</f>
        <v/>
      </c>
      <c r="N90" s="16">
        <f>IF(OR(M90="Basic",M90="Intermediate",M90="Advanced"),"Pass","Fail")</f>
        <v/>
      </c>
      <c r="O90" s="16">
        <f>Requests!K90</f>
        <v/>
      </c>
      <c r="P90" s="16">
        <f>IF(D90="Self-study",IF(O90&gt;=ROUNDUP(Q90*Rules!$C$12,0),"Pass","Fail"),"N/A")</f>
        <v/>
      </c>
      <c r="Q90" s="17">
        <f>IF(C90&lt;25,0,FLOOR(C90/50,0.5))</f>
        <v/>
      </c>
      <c r="R90" s="17">
        <f>IF(C90&lt;50,0,ROUNDDOWN(C90/50*5,0)/5)</f>
        <v/>
      </c>
      <c r="S90" s="16">
        <f>IF(AND(Requests!O90&lt;&gt;"Approved",Requests!M90&lt;TODAY()),"Overdue",IF(Requests!M90-TODAY()&lt;=Rules!$C$26,"Due Soon","On Track"))</f>
        <v/>
      </c>
      <c r="T90" s="16">
        <f>IF(AND(G90="Pass",J90&lt;&gt;"Fail",L90="Pass",N90="Pass",P90&lt;&gt;"Fail"),"Approved",IF(OR(L90="Fail – Missing FOS",N90="Fail"),"Escalate","Needs Correction"))</f>
        <v/>
      </c>
      <c r="U90" s="16">
        <f>IFERROR(IF(G90&lt;&gt;"Pass","Insufficient learning objectives; ","")&amp;IF(AND(J90="Fail",D90="Group"),"Missing attendance checks; ","")&amp;IF(L90&lt;&gt;"Pass","Missing field of study; ","")&amp;IF(N90&lt;&gt;"Pass","Invalid program level; ","")&amp;IF(AND(P90="Fail",D90="Self-study"),"Insufficient review questions; ",""),"Check data")</f>
        <v/>
      </c>
    </row>
    <row r="91">
      <c r="A91" s="16">
        <f>Requests!A91</f>
        <v/>
      </c>
      <c r="B91" s="16">
        <f>Requests!B91</f>
        <v/>
      </c>
      <c r="C91" s="16">
        <f>Requests!F91</f>
        <v/>
      </c>
      <c r="D91" s="16">
        <f>Requests!E91</f>
        <v/>
      </c>
      <c r="E91" s="16">
        <f>Requests!I91</f>
        <v/>
      </c>
      <c r="F91" s="16">
        <f>ROUNDUP(C91/50*Rules!$C$5,0)</f>
        <v/>
      </c>
      <c r="G91" s="16">
        <f>IF(E91&gt;=F91,"Pass","Fail")</f>
        <v/>
      </c>
      <c r="H91" s="16">
        <f>Requests!J91</f>
        <v/>
      </c>
      <c r="I91" s="16">
        <f>IF(D91="Group",ROUNDUP(C91/50*Rules!$C$9,0),0)</f>
        <v/>
      </c>
      <c r="J91" s="16">
        <f>IF(D91="Self-study","N/A",IF(H91&gt;=I91,"Pass","Fail"))</f>
        <v/>
      </c>
      <c r="K91" s="16">
        <f>Requests!G91</f>
        <v/>
      </c>
      <c r="L91" s="16">
        <f>IF(K91&lt;&gt;"","Pass","Fail – Missing FOS")</f>
        <v/>
      </c>
      <c r="M91" s="16">
        <f>Requests!H91</f>
        <v/>
      </c>
      <c r="N91" s="16">
        <f>IF(OR(M91="Basic",M91="Intermediate",M91="Advanced"),"Pass","Fail")</f>
        <v/>
      </c>
      <c r="O91" s="16">
        <f>Requests!K91</f>
        <v/>
      </c>
      <c r="P91" s="16">
        <f>IF(D91="Self-study",IF(O91&gt;=ROUNDUP(Q91*Rules!$C$12,0),"Pass","Fail"),"N/A")</f>
        <v/>
      </c>
      <c r="Q91" s="17">
        <f>IF(C91&lt;25,0,FLOOR(C91/50,0.5))</f>
        <v/>
      </c>
      <c r="R91" s="17">
        <f>IF(C91&lt;50,0,ROUNDDOWN(C91/50*5,0)/5)</f>
        <v/>
      </c>
      <c r="S91" s="16">
        <f>IF(AND(Requests!O91&lt;&gt;"Approved",Requests!M91&lt;TODAY()),"Overdue",IF(Requests!M91-TODAY()&lt;=Rules!$C$26,"Due Soon","On Track"))</f>
        <v/>
      </c>
      <c r="T91" s="16">
        <f>IF(AND(G91="Pass",J91&lt;&gt;"Fail",L91="Pass",N91="Pass",P91&lt;&gt;"Fail"),"Approved",IF(OR(L91="Fail – Missing FOS",N91="Fail"),"Escalate","Needs Correction"))</f>
        <v/>
      </c>
      <c r="U91" s="16">
        <f>IFERROR(IF(G91&lt;&gt;"Pass","Insufficient learning objectives; ","")&amp;IF(AND(J91="Fail",D91="Group"),"Missing attendance checks; ","")&amp;IF(L91&lt;&gt;"Pass","Missing field of study; ","")&amp;IF(N91&lt;&gt;"Pass","Invalid program level; ","")&amp;IF(AND(P91="Fail",D91="Self-study"),"Insufficient review questions; ",""),"Check data")</f>
        <v/>
      </c>
    </row>
    <row r="92">
      <c r="A92" s="16">
        <f>Requests!A92</f>
        <v/>
      </c>
      <c r="B92" s="16">
        <f>Requests!B92</f>
        <v/>
      </c>
      <c r="C92" s="16">
        <f>Requests!F92</f>
        <v/>
      </c>
      <c r="D92" s="16">
        <f>Requests!E92</f>
        <v/>
      </c>
      <c r="E92" s="16">
        <f>Requests!I92</f>
        <v/>
      </c>
      <c r="F92" s="16">
        <f>ROUNDUP(C92/50*Rules!$C$5,0)</f>
        <v/>
      </c>
      <c r="G92" s="16">
        <f>IF(E92&gt;=F92,"Pass","Fail")</f>
        <v/>
      </c>
      <c r="H92" s="16">
        <f>Requests!J92</f>
        <v/>
      </c>
      <c r="I92" s="16">
        <f>IF(D92="Group",ROUNDUP(C92/50*Rules!$C$9,0),0)</f>
        <v/>
      </c>
      <c r="J92" s="16">
        <f>IF(D92="Self-study","N/A",IF(H92&gt;=I92,"Pass","Fail"))</f>
        <v/>
      </c>
      <c r="K92" s="16">
        <f>Requests!G92</f>
        <v/>
      </c>
      <c r="L92" s="16">
        <f>IF(K92&lt;&gt;"","Pass","Fail – Missing FOS")</f>
        <v/>
      </c>
      <c r="M92" s="16">
        <f>Requests!H92</f>
        <v/>
      </c>
      <c r="N92" s="16">
        <f>IF(OR(M92="Basic",M92="Intermediate",M92="Advanced"),"Pass","Fail")</f>
        <v/>
      </c>
      <c r="O92" s="16">
        <f>Requests!K92</f>
        <v/>
      </c>
      <c r="P92" s="16">
        <f>IF(D92="Self-study",IF(O92&gt;=ROUNDUP(Q92*Rules!$C$12,0),"Pass","Fail"),"N/A")</f>
        <v/>
      </c>
      <c r="Q92" s="17">
        <f>IF(C92&lt;25,0,FLOOR(C92/50,0.5))</f>
        <v/>
      </c>
      <c r="R92" s="17">
        <f>IF(C92&lt;50,0,ROUNDDOWN(C92/50*5,0)/5)</f>
        <v/>
      </c>
      <c r="S92" s="16">
        <f>IF(AND(Requests!O92&lt;&gt;"Approved",Requests!M92&lt;TODAY()),"Overdue",IF(Requests!M92-TODAY()&lt;=Rules!$C$26,"Due Soon","On Track"))</f>
        <v/>
      </c>
      <c r="T92" s="16">
        <f>IF(AND(G92="Pass",J92&lt;&gt;"Fail",L92="Pass",N92="Pass",P92&lt;&gt;"Fail"),"Approved",IF(OR(L92="Fail – Missing FOS",N92="Fail"),"Escalate","Needs Correction"))</f>
        <v/>
      </c>
      <c r="U92" s="16">
        <f>IFERROR(IF(G92&lt;&gt;"Pass","Insufficient learning objectives; ","")&amp;IF(AND(J92="Fail",D92="Group"),"Missing attendance checks; ","")&amp;IF(L92&lt;&gt;"Pass","Missing field of study; ","")&amp;IF(N92&lt;&gt;"Pass","Invalid program level; ","")&amp;IF(AND(P92="Fail",D92="Self-study"),"Insufficient review questions; ",""),"Check data")</f>
        <v/>
      </c>
    </row>
    <row r="93">
      <c r="A93" s="16">
        <f>Requests!A93</f>
        <v/>
      </c>
      <c r="B93" s="16">
        <f>Requests!B93</f>
        <v/>
      </c>
      <c r="C93" s="16">
        <f>Requests!F93</f>
        <v/>
      </c>
      <c r="D93" s="16">
        <f>Requests!E93</f>
        <v/>
      </c>
      <c r="E93" s="16">
        <f>Requests!I93</f>
        <v/>
      </c>
      <c r="F93" s="16">
        <f>ROUNDUP(C93/50*Rules!$C$5,0)</f>
        <v/>
      </c>
      <c r="G93" s="16">
        <f>IF(E93&gt;=F93,"Pass","Fail")</f>
        <v/>
      </c>
      <c r="H93" s="16">
        <f>Requests!J93</f>
        <v/>
      </c>
      <c r="I93" s="16">
        <f>IF(D93="Group",ROUNDUP(C93/50*Rules!$C$9,0),0)</f>
        <v/>
      </c>
      <c r="J93" s="16">
        <f>IF(D93="Self-study","N/A",IF(H93&gt;=I93,"Pass","Fail"))</f>
        <v/>
      </c>
      <c r="K93" s="16">
        <f>Requests!G93</f>
        <v/>
      </c>
      <c r="L93" s="16">
        <f>IF(K93&lt;&gt;"","Pass","Fail – Missing FOS")</f>
        <v/>
      </c>
      <c r="M93" s="16">
        <f>Requests!H93</f>
        <v/>
      </c>
      <c r="N93" s="16">
        <f>IF(OR(M93="Basic",M93="Intermediate",M93="Advanced"),"Pass","Fail")</f>
        <v/>
      </c>
      <c r="O93" s="16">
        <f>Requests!K93</f>
        <v/>
      </c>
      <c r="P93" s="16">
        <f>IF(D93="Self-study",IF(O93&gt;=ROUNDUP(Q93*Rules!$C$12,0),"Pass","Fail"),"N/A")</f>
        <v/>
      </c>
      <c r="Q93" s="17">
        <f>IF(C93&lt;25,0,FLOOR(C93/50,0.5))</f>
        <v/>
      </c>
      <c r="R93" s="17">
        <f>IF(C93&lt;50,0,ROUNDDOWN(C93/50*5,0)/5)</f>
        <v/>
      </c>
      <c r="S93" s="16">
        <f>IF(AND(Requests!O93&lt;&gt;"Approved",Requests!M93&lt;TODAY()),"Overdue",IF(Requests!M93-TODAY()&lt;=Rules!$C$26,"Due Soon","On Track"))</f>
        <v/>
      </c>
      <c r="T93" s="16">
        <f>IF(AND(G93="Pass",J93&lt;&gt;"Fail",L93="Pass",N93="Pass",P93&lt;&gt;"Fail"),"Approved",IF(OR(L93="Fail – Missing FOS",N93="Fail"),"Escalate","Needs Correction"))</f>
        <v/>
      </c>
      <c r="U93" s="16">
        <f>IFERROR(IF(G93&lt;&gt;"Pass","Insufficient learning objectives; ","")&amp;IF(AND(J93="Fail",D93="Group"),"Missing attendance checks; ","")&amp;IF(L93&lt;&gt;"Pass","Missing field of study; ","")&amp;IF(N93&lt;&gt;"Pass","Invalid program level; ","")&amp;IF(AND(P93="Fail",D93="Self-study"),"Insufficient review questions; ",""),"Check data")</f>
        <v/>
      </c>
    </row>
    <row r="94">
      <c r="A94" s="16">
        <f>Requests!A94</f>
        <v/>
      </c>
      <c r="B94" s="16">
        <f>Requests!B94</f>
        <v/>
      </c>
      <c r="C94" s="16">
        <f>Requests!F94</f>
        <v/>
      </c>
      <c r="D94" s="16">
        <f>Requests!E94</f>
        <v/>
      </c>
      <c r="E94" s="16">
        <f>Requests!I94</f>
        <v/>
      </c>
      <c r="F94" s="16">
        <f>ROUNDUP(C94/50*Rules!$C$5,0)</f>
        <v/>
      </c>
      <c r="G94" s="16">
        <f>IF(E94&gt;=F94,"Pass","Fail")</f>
        <v/>
      </c>
      <c r="H94" s="16">
        <f>Requests!J94</f>
        <v/>
      </c>
      <c r="I94" s="16">
        <f>IF(D94="Group",ROUNDUP(C94/50*Rules!$C$9,0),0)</f>
        <v/>
      </c>
      <c r="J94" s="16">
        <f>IF(D94="Self-study","N/A",IF(H94&gt;=I94,"Pass","Fail"))</f>
        <v/>
      </c>
      <c r="K94" s="16">
        <f>Requests!G94</f>
        <v/>
      </c>
      <c r="L94" s="16">
        <f>IF(K94&lt;&gt;"","Pass","Fail – Missing FOS")</f>
        <v/>
      </c>
      <c r="M94" s="16">
        <f>Requests!H94</f>
        <v/>
      </c>
      <c r="N94" s="16">
        <f>IF(OR(M94="Basic",M94="Intermediate",M94="Advanced"),"Pass","Fail")</f>
        <v/>
      </c>
      <c r="O94" s="16">
        <f>Requests!K94</f>
        <v/>
      </c>
      <c r="P94" s="16">
        <f>IF(D94="Self-study",IF(O94&gt;=ROUNDUP(Q94*Rules!$C$12,0),"Pass","Fail"),"N/A")</f>
        <v/>
      </c>
      <c r="Q94" s="17">
        <f>IF(C94&lt;25,0,FLOOR(C94/50,0.5))</f>
        <v/>
      </c>
      <c r="R94" s="17">
        <f>IF(C94&lt;50,0,ROUNDDOWN(C94/50*5,0)/5)</f>
        <v/>
      </c>
      <c r="S94" s="16">
        <f>IF(AND(Requests!O94&lt;&gt;"Approved",Requests!M94&lt;TODAY()),"Overdue",IF(Requests!M94-TODAY()&lt;=Rules!$C$26,"Due Soon","On Track"))</f>
        <v/>
      </c>
      <c r="T94" s="16">
        <f>IF(AND(G94="Pass",J94&lt;&gt;"Fail",L94="Pass",N94="Pass",P94&lt;&gt;"Fail"),"Approved",IF(OR(L94="Fail – Missing FOS",N94="Fail"),"Escalate","Needs Correction"))</f>
        <v/>
      </c>
      <c r="U94" s="16">
        <f>IFERROR(IF(G94&lt;&gt;"Pass","Insufficient learning objectives; ","")&amp;IF(AND(J94="Fail",D94="Group"),"Missing attendance checks; ","")&amp;IF(L94&lt;&gt;"Pass","Missing field of study; ","")&amp;IF(N94&lt;&gt;"Pass","Invalid program level; ","")&amp;IF(AND(P94="Fail",D94="Self-study"),"Insufficient review questions; ",""),"Check data")</f>
        <v/>
      </c>
    </row>
    <row r="95">
      <c r="A95" s="16">
        <f>Requests!A95</f>
        <v/>
      </c>
      <c r="B95" s="16">
        <f>Requests!B95</f>
        <v/>
      </c>
      <c r="C95" s="16">
        <f>Requests!F95</f>
        <v/>
      </c>
      <c r="D95" s="16">
        <f>Requests!E95</f>
        <v/>
      </c>
      <c r="E95" s="16">
        <f>Requests!I95</f>
        <v/>
      </c>
      <c r="F95" s="16">
        <f>ROUNDUP(C95/50*Rules!$C$5,0)</f>
        <v/>
      </c>
      <c r="G95" s="16">
        <f>IF(E95&gt;=F95,"Pass","Fail")</f>
        <v/>
      </c>
      <c r="H95" s="16">
        <f>Requests!J95</f>
        <v/>
      </c>
      <c r="I95" s="16">
        <f>IF(D95="Group",ROUNDUP(C95/50*Rules!$C$9,0),0)</f>
        <v/>
      </c>
      <c r="J95" s="16">
        <f>IF(D95="Self-study","N/A",IF(H95&gt;=I95,"Pass","Fail"))</f>
        <v/>
      </c>
      <c r="K95" s="16">
        <f>Requests!G95</f>
        <v/>
      </c>
      <c r="L95" s="16">
        <f>IF(K95&lt;&gt;"","Pass","Fail – Missing FOS")</f>
        <v/>
      </c>
      <c r="M95" s="16">
        <f>Requests!H95</f>
        <v/>
      </c>
      <c r="N95" s="16">
        <f>IF(OR(M95="Basic",M95="Intermediate",M95="Advanced"),"Pass","Fail")</f>
        <v/>
      </c>
      <c r="O95" s="16">
        <f>Requests!K95</f>
        <v/>
      </c>
      <c r="P95" s="16">
        <f>IF(D95="Self-study",IF(O95&gt;=ROUNDUP(Q95*Rules!$C$12,0),"Pass","Fail"),"N/A")</f>
        <v/>
      </c>
      <c r="Q95" s="17">
        <f>IF(C95&lt;25,0,FLOOR(C95/50,0.5))</f>
        <v/>
      </c>
      <c r="R95" s="17">
        <f>IF(C95&lt;50,0,ROUNDDOWN(C95/50*5,0)/5)</f>
        <v/>
      </c>
      <c r="S95" s="16">
        <f>IF(AND(Requests!O95&lt;&gt;"Approved",Requests!M95&lt;TODAY()),"Overdue",IF(Requests!M95-TODAY()&lt;=Rules!$C$26,"Due Soon","On Track"))</f>
        <v/>
      </c>
      <c r="T95" s="16">
        <f>IF(AND(G95="Pass",J95&lt;&gt;"Fail",L95="Pass",N95="Pass",P95&lt;&gt;"Fail"),"Approved",IF(OR(L95="Fail – Missing FOS",N95="Fail"),"Escalate","Needs Correction"))</f>
        <v/>
      </c>
      <c r="U95" s="16">
        <f>IFERROR(IF(G95&lt;&gt;"Pass","Insufficient learning objectives; ","")&amp;IF(AND(J95="Fail",D95="Group"),"Missing attendance checks; ","")&amp;IF(L95&lt;&gt;"Pass","Missing field of study; ","")&amp;IF(N95&lt;&gt;"Pass","Invalid program level; ","")&amp;IF(AND(P95="Fail",D95="Self-study"),"Insufficient review questions; ",""),"Check data")</f>
        <v/>
      </c>
    </row>
    <row r="96">
      <c r="A96" s="16">
        <f>Requests!A96</f>
        <v/>
      </c>
      <c r="B96" s="16">
        <f>Requests!B96</f>
        <v/>
      </c>
      <c r="C96" s="16">
        <f>Requests!F96</f>
        <v/>
      </c>
      <c r="D96" s="16">
        <f>Requests!E96</f>
        <v/>
      </c>
      <c r="E96" s="16">
        <f>Requests!I96</f>
        <v/>
      </c>
      <c r="F96" s="16">
        <f>ROUNDUP(C96/50*Rules!$C$5,0)</f>
        <v/>
      </c>
      <c r="G96" s="16">
        <f>IF(E96&gt;=F96,"Pass","Fail")</f>
        <v/>
      </c>
      <c r="H96" s="16">
        <f>Requests!J96</f>
        <v/>
      </c>
      <c r="I96" s="16">
        <f>IF(D96="Group",ROUNDUP(C96/50*Rules!$C$9,0),0)</f>
        <v/>
      </c>
      <c r="J96" s="16">
        <f>IF(D96="Self-study","N/A",IF(H96&gt;=I96,"Pass","Fail"))</f>
        <v/>
      </c>
      <c r="K96" s="16">
        <f>Requests!G96</f>
        <v/>
      </c>
      <c r="L96" s="16">
        <f>IF(K96&lt;&gt;"","Pass","Fail – Missing FOS")</f>
        <v/>
      </c>
      <c r="M96" s="16">
        <f>Requests!H96</f>
        <v/>
      </c>
      <c r="N96" s="16">
        <f>IF(OR(M96="Basic",M96="Intermediate",M96="Advanced"),"Pass","Fail")</f>
        <v/>
      </c>
      <c r="O96" s="16">
        <f>Requests!K96</f>
        <v/>
      </c>
      <c r="P96" s="16">
        <f>IF(D96="Self-study",IF(O96&gt;=ROUNDUP(Q96*Rules!$C$12,0),"Pass","Fail"),"N/A")</f>
        <v/>
      </c>
      <c r="Q96" s="17">
        <f>IF(C96&lt;25,0,FLOOR(C96/50,0.5))</f>
        <v/>
      </c>
      <c r="R96" s="17">
        <f>IF(C96&lt;50,0,ROUNDDOWN(C96/50*5,0)/5)</f>
        <v/>
      </c>
      <c r="S96" s="16">
        <f>IF(AND(Requests!O96&lt;&gt;"Approved",Requests!M96&lt;TODAY()),"Overdue",IF(Requests!M96-TODAY()&lt;=Rules!$C$26,"Due Soon","On Track"))</f>
        <v/>
      </c>
      <c r="T96" s="16">
        <f>IF(AND(G96="Pass",J96&lt;&gt;"Fail",L96="Pass",N96="Pass",P96&lt;&gt;"Fail"),"Approved",IF(OR(L96="Fail – Missing FOS",N96="Fail"),"Escalate","Needs Correction"))</f>
        <v/>
      </c>
      <c r="U96" s="16">
        <f>IFERROR(IF(G96&lt;&gt;"Pass","Insufficient learning objectives; ","")&amp;IF(AND(J96="Fail",D96="Group"),"Missing attendance checks; ","")&amp;IF(L96&lt;&gt;"Pass","Missing field of study; ","")&amp;IF(N96&lt;&gt;"Pass","Invalid program level; ","")&amp;IF(AND(P96="Fail",D96="Self-study"),"Insufficient review questions; ",""),"Check data")</f>
        <v/>
      </c>
    </row>
    <row r="97">
      <c r="A97" s="16">
        <f>Requests!A97</f>
        <v/>
      </c>
      <c r="B97" s="16">
        <f>Requests!B97</f>
        <v/>
      </c>
      <c r="C97" s="16">
        <f>Requests!F97</f>
        <v/>
      </c>
      <c r="D97" s="16">
        <f>Requests!E97</f>
        <v/>
      </c>
      <c r="E97" s="16">
        <f>Requests!I97</f>
        <v/>
      </c>
      <c r="F97" s="16">
        <f>ROUNDUP(C97/50*Rules!$C$5,0)</f>
        <v/>
      </c>
      <c r="G97" s="16">
        <f>IF(E97&gt;=F97,"Pass","Fail")</f>
        <v/>
      </c>
      <c r="H97" s="16">
        <f>Requests!J97</f>
        <v/>
      </c>
      <c r="I97" s="16">
        <f>IF(D97="Group",ROUNDUP(C97/50*Rules!$C$9,0),0)</f>
        <v/>
      </c>
      <c r="J97" s="16">
        <f>IF(D97="Self-study","N/A",IF(H97&gt;=I97,"Pass","Fail"))</f>
        <v/>
      </c>
      <c r="K97" s="16">
        <f>Requests!G97</f>
        <v/>
      </c>
      <c r="L97" s="16">
        <f>IF(K97&lt;&gt;"","Pass","Fail – Missing FOS")</f>
        <v/>
      </c>
      <c r="M97" s="16">
        <f>Requests!H97</f>
        <v/>
      </c>
      <c r="N97" s="16">
        <f>IF(OR(M97="Basic",M97="Intermediate",M97="Advanced"),"Pass","Fail")</f>
        <v/>
      </c>
      <c r="O97" s="16">
        <f>Requests!K97</f>
        <v/>
      </c>
      <c r="P97" s="16">
        <f>IF(D97="Self-study",IF(O97&gt;=ROUNDUP(Q97*Rules!$C$12,0),"Pass","Fail"),"N/A")</f>
        <v/>
      </c>
      <c r="Q97" s="17">
        <f>IF(C97&lt;25,0,FLOOR(C97/50,0.5))</f>
        <v/>
      </c>
      <c r="R97" s="17">
        <f>IF(C97&lt;50,0,ROUNDDOWN(C97/50*5,0)/5)</f>
        <v/>
      </c>
      <c r="S97" s="16">
        <f>IF(AND(Requests!O97&lt;&gt;"Approved",Requests!M97&lt;TODAY()),"Overdue",IF(Requests!M97-TODAY()&lt;=Rules!$C$26,"Due Soon","On Track"))</f>
        <v/>
      </c>
      <c r="T97" s="16">
        <f>IF(AND(G97="Pass",J97&lt;&gt;"Fail",L97="Pass",N97="Pass",P97&lt;&gt;"Fail"),"Approved",IF(OR(L97="Fail – Missing FOS",N97="Fail"),"Escalate","Needs Correction"))</f>
        <v/>
      </c>
      <c r="U97" s="16">
        <f>IFERROR(IF(G97&lt;&gt;"Pass","Insufficient learning objectives; ","")&amp;IF(AND(J97="Fail",D97="Group"),"Missing attendance checks; ","")&amp;IF(L97&lt;&gt;"Pass","Missing field of study; ","")&amp;IF(N97&lt;&gt;"Pass","Invalid program level; ","")&amp;IF(AND(P97="Fail",D97="Self-study"),"Insufficient review questions; ",""),"Check data")</f>
        <v/>
      </c>
    </row>
    <row r="98">
      <c r="A98" s="16">
        <f>Requests!A98</f>
        <v/>
      </c>
      <c r="B98" s="16">
        <f>Requests!B98</f>
        <v/>
      </c>
      <c r="C98" s="16">
        <f>Requests!F98</f>
        <v/>
      </c>
      <c r="D98" s="16">
        <f>Requests!E98</f>
        <v/>
      </c>
      <c r="E98" s="16">
        <f>Requests!I98</f>
        <v/>
      </c>
      <c r="F98" s="16">
        <f>ROUNDUP(C98/50*Rules!$C$5,0)</f>
        <v/>
      </c>
      <c r="G98" s="16">
        <f>IF(E98&gt;=F98,"Pass","Fail")</f>
        <v/>
      </c>
      <c r="H98" s="16">
        <f>Requests!J98</f>
        <v/>
      </c>
      <c r="I98" s="16">
        <f>IF(D98="Group",ROUNDUP(C98/50*Rules!$C$9,0),0)</f>
        <v/>
      </c>
      <c r="J98" s="16">
        <f>IF(D98="Self-study","N/A",IF(H98&gt;=I98,"Pass","Fail"))</f>
        <v/>
      </c>
      <c r="K98" s="16">
        <f>Requests!G98</f>
        <v/>
      </c>
      <c r="L98" s="16">
        <f>IF(K98&lt;&gt;"","Pass","Fail – Missing FOS")</f>
        <v/>
      </c>
      <c r="M98" s="16">
        <f>Requests!H98</f>
        <v/>
      </c>
      <c r="N98" s="16">
        <f>IF(OR(M98="Basic",M98="Intermediate",M98="Advanced"),"Pass","Fail")</f>
        <v/>
      </c>
      <c r="O98" s="16">
        <f>Requests!K98</f>
        <v/>
      </c>
      <c r="P98" s="16">
        <f>IF(D98="Self-study",IF(O98&gt;=ROUNDUP(Q98*Rules!$C$12,0),"Pass","Fail"),"N/A")</f>
        <v/>
      </c>
      <c r="Q98" s="17">
        <f>IF(C98&lt;25,0,FLOOR(C98/50,0.5))</f>
        <v/>
      </c>
      <c r="R98" s="17">
        <f>IF(C98&lt;50,0,ROUNDDOWN(C98/50*5,0)/5)</f>
        <v/>
      </c>
      <c r="S98" s="16">
        <f>IF(AND(Requests!O98&lt;&gt;"Approved",Requests!M98&lt;TODAY()),"Overdue",IF(Requests!M98-TODAY()&lt;=Rules!$C$26,"Due Soon","On Track"))</f>
        <v/>
      </c>
      <c r="T98" s="16">
        <f>IF(AND(G98="Pass",J98&lt;&gt;"Fail",L98="Pass",N98="Pass",P98&lt;&gt;"Fail"),"Approved",IF(OR(L98="Fail – Missing FOS",N98="Fail"),"Escalate","Needs Correction"))</f>
        <v/>
      </c>
      <c r="U98" s="16">
        <f>IFERROR(IF(G98&lt;&gt;"Pass","Insufficient learning objectives; ","")&amp;IF(AND(J98="Fail",D98="Group"),"Missing attendance checks; ","")&amp;IF(L98&lt;&gt;"Pass","Missing field of study; ","")&amp;IF(N98&lt;&gt;"Pass","Invalid program level; ","")&amp;IF(AND(P98="Fail",D98="Self-study"),"Insufficient review questions; ",""),"Check data")</f>
        <v/>
      </c>
    </row>
    <row r="99">
      <c r="A99" s="16">
        <f>Requests!A99</f>
        <v/>
      </c>
      <c r="B99" s="16">
        <f>Requests!B99</f>
        <v/>
      </c>
      <c r="C99" s="16">
        <f>Requests!F99</f>
        <v/>
      </c>
      <c r="D99" s="16">
        <f>Requests!E99</f>
        <v/>
      </c>
      <c r="E99" s="16">
        <f>Requests!I99</f>
        <v/>
      </c>
      <c r="F99" s="16">
        <f>ROUNDUP(C99/50*Rules!$C$5,0)</f>
        <v/>
      </c>
      <c r="G99" s="16">
        <f>IF(E99&gt;=F99,"Pass","Fail")</f>
        <v/>
      </c>
      <c r="H99" s="16">
        <f>Requests!J99</f>
        <v/>
      </c>
      <c r="I99" s="16">
        <f>IF(D99="Group",ROUNDUP(C99/50*Rules!$C$9,0),0)</f>
        <v/>
      </c>
      <c r="J99" s="16">
        <f>IF(D99="Self-study","N/A",IF(H99&gt;=I99,"Pass","Fail"))</f>
        <v/>
      </c>
      <c r="K99" s="16">
        <f>Requests!G99</f>
        <v/>
      </c>
      <c r="L99" s="16">
        <f>IF(K99&lt;&gt;"","Pass","Fail – Missing FOS")</f>
        <v/>
      </c>
      <c r="M99" s="16">
        <f>Requests!H99</f>
        <v/>
      </c>
      <c r="N99" s="16">
        <f>IF(OR(M99="Basic",M99="Intermediate",M99="Advanced"),"Pass","Fail")</f>
        <v/>
      </c>
      <c r="O99" s="16">
        <f>Requests!K99</f>
        <v/>
      </c>
      <c r="P99" s="16">
        <f>IF(D99="Self-study",IF(O99&gt;=ROUNDUP(Q99*Rules!$C$12,0),"Pass","Fail"),"N/A")</f>
        <v/>
      </c>
      <c r="Q99" s="17">
        <f>IF(C99&lt;25,0,FLOOR(C99/50,0.5))</f>
        <v/>
      </c>
      <c r="R99" s="17">
        <f>IF(C99&lt;50,0,ROUNDDOWN(C99/50*5,0)/5)</f>
        <v/>
      </c>
      <c r="S99" s="16">
        <f>IF(AND(Requests!O99&lt;&gt;"Approved",Requests!M99&lt;TODAY()),"Overdue",IF(Requests!M99-TODAY()&lt;=Rules!$C$26,"Due Soon","On Track"))</f>
        <v/>
      </c>
      <c r="T99" s="16">
        <f>IF(AND(G99="Pass",J99&lt;&gt;"Fail",L99="Pass",N99="Pass",P99&lt;&gt;"Fail"),"Approved",IF(OR(L99="Fail – Missing FOS",N99="Fail"),"Escalate","Needs Correction"))</f>
        <v/>
      </c>
      <c r="U99" s="16">
        <f>IFERROR(IF(G99&lt;&gt;"Pass","Insufficient learning objectives; ","")&amp;IF(AND(J99="Fail",D99="Group"),"Missing attendance checks; ","")&amp;IF(L99&lt;&gt;"Pass","Missing field of study; ","")&amp;IF(N99&lt;&gt;"Pass","Invalid program level; ","")&amp;IF(AND(P99="Fail",D99="Self-study"),"Insufficient review questions; ",""),"Check data")</f>
        <v/>
      </c>
    </row>
    <row r="100">
      <c r="A100" s="16">
        <f>Requests!A100</f>
        <v/>
      </c>
      <c r="B100" s="16">
        <f>Requests!B100</f>
        <v/>
      </c>
      <c r="C100" s="16">
        <f>Requests!F100</f>
        <v/>
      </c>
      <c r="D100" s="16">
        <f>Requests!E100</f>
        <v/>
      </c>
      <c r="E100" s="16">
        <f>Requests!I100</f>
        <v/>
      </c>
      <c r="F100" s="16">
        <f>ROUNDUP(C100/50*Rules!$C$5,0)</f>
        <v/>
      </c>
      <c r="G100" s="16">
        <f>IF(E100&gt;=F100,"Pass","Fail")</f>
        <v/>
      </c>
      <c r="H100" s="16">
        <f>Requests!J100</f>
        <v/>
      </c>
      <c r="I100" s="16">
        <f>IF(D100="Group",ROUNDUP(C100/50*Rules!$C$9,0),0)</f>
        <v/>
      </c>
      <c r="J100" s="16">
        <f>IF(D100="Self-study","N/A",IF(H100&gt;=I100,"Pass","Fail"))</f>
        <v/>
      </c>
      <c r="K100" s="16">
        <f>Requests!G100</f>
        <v/>
      </c>
      <c r="L100" s="16">
        <f>IF(K100&lt;&gt;"","Pass","Fail – Missing FOS")</f>
        <v/>
      </c>
      <c r="M100" s="16">
        <f>Requests!H100</f>
        <v/>
      </c>
      <c r="N100" s="16">
        <f>IF(OR(M100="Basic",M100="Intermediate",M100="Advanced"),"Pass","Fail")</f>
        <v/>
      </c>
      <c r="O100" s="16">
        <f>Requests!K100</f>
        <v/>
      </c>
      <c r="P100" s="16">
        <f>IF(D100="Self-study",IF(O100&gt;=ROUNDUP(Q100*Rules!$C$12,0),"Pass","Fail"),"N/A")</f>
        <v/>
      </c>
      <c r="Q100" s="17">
        <f>IF(C100&lt;25,0,FLOOR(C100/50,0.5))</f>
        <v/>
      </c>
      <c r="R100" s="17">
        <f>IF(C100&lt;50,0,ROUNDDOWN(C100/50*5,0)/5)</f>
        <v/>
      </c>
      <c r="S100" s="16">
        <f>IF(AND(Requests!O100&lt;&gt;"Approved",Requests!M100&lt;TODAY()),"Overdue",IF(Requests!M100-TODAY()&lt;=Rules!$C$26,"Due Soon","On Track"))</f>
        <v/>
      </c>
      <c r="T100" s="16">
        <f>IF(AND(G100="Pass",J100&lt;&gt;"Fail",L100="Pass",N100="Pass",P100&lt;&gt;"Fail"),"Approved",IF(OR(L100="Fail – Missing FOS",N100="Fail"),"Escalate","Needs Correction"))</f>
        <v/>
      </c>
      <c r="U100" s="16">
        <f>IFERROR(IF(G100&lt;&gt;"Pass","Insufficient learning objectives; ","")&amp;IF(AND(J100="Fail",D100="Group"),"Missing attendance checks; ","")&amp;IF(L100&lt;&gt;"Pass","Missing field of study; ","")&amp;IF(N100&lt;&gt;"Pass","Invalid program level; ","")&amp;IF(AND(P100="Fail",D100="Self-study"),"Insufficient review questions; ",""),"Check data")</f>
        <v/>
      </c>
    </row>
    <row r="101">
      <c r="A101" s="16">
        <f>Requests!A101</f>
        <v/>
      </c>
      <c r="B101" s="16">
        <f>Requests!B101</f>
        <v/>
      </c>
      <c r="C101" s="16">
        <f>Requests!F101</f>
        <v/>
      </c>
      <c r="D101" s="16">
        <f>Requests!E101</f>
        <v/>
      </c>
      <c r="E101" s="16">
        <f>Requests!I101</f>
        <v/>
      </c>
      <c r="F101" s="16">
        <f>ROUNDUP(C101/50*Rules!$C$5,0)</f>
        <v/>
      </c>
      <c r="G101" s="16">
        <f>IF(E101&gt;=F101,"Pass","Fail")</f>
        <v/>
      </c>
      <c r="H101" s="16">
        <f>Requests!J101</f>
        <v/>
      </c>
      <c r="I101" s="16">
        <f>IF(D101="Group",ROUNDUP(C101/50*Rules!$C$9,0),0)</f>
        <v/>
      </c>
      <c r="J101" s="16">
        <f>IF(D101="Self-study","N/A",IF(H101&gt;=I101,"Pass","Fail"))</f>
        <v/>
      </c>
      <c r="K101" s="16">
        <f>Requests!G101</f>
        <v/>
      </c>
      <c r="L101" s="16">
        <f>IF(K101&lt;&gt;"","Pass","Fail – Missing FOS")</f>
        <v/>
      </c>
      <c r="M101" s="16">
        <f>Requests!H101</f>
        <v/>
      </c>
      <c r="N101" s="16">
        <f>IF(OR(M101="Basic",M101="Intermediate",M101="Advanced"),"Pass","Fail")</f>
        <v/>
      </c>
      <c r="O101" s="16">
        <f>Requests!K101</f>
        <v/>
      </c>
      <c r="P101" s="16">
        <f>IF(D101="Self-study",IF(O101&gt;=ROUNDUP(Q101*Rules!$C$12,0),"Pass","Fail"),"N/A")</f>
        <v/>
      </c>
      <c r="Q101" s="17">
        <f>IF(C101&lt;25,0,FLOOR(C101/50,0.5))</f>
        <v/>
      </c>
      <c r="R101" s="17">
        <f>IF(C101&lt;50,0,ROUNDDOWN(C101/50*5,0)/5)</f>
        <v/>
      </c>
      <c r="S101" s="16">
        <f>IF(AND(Requests!O101&lt;&gt;"Approved",Requests!M101&lt;TODAY()),"Overdue",IF(Requests!M101-TODAY()&lt;=Rules!$C$26,"Due Soon","On Track"))</f>
        <v/>
      </c>
      <c r="T101" s="16">
        <f>IF(AND(G101="Pass",J101&lt;&gt;"Fail",L101="Pass",N101="Pass",P101&lt;&gt;"Fail"),"Approved",IF(OR(L101="Fail – Missing FOS",N101="Fail"),"Escalate","Needs Correction"))</f>
        <v/>
      </c>
      <c r="U101" s="16">
        <f>IFERROR(IF(G101&lt;&gt;"Pass","Insufficient learning objectives; ","")&amp;IF(AND(J101="Fail",D101="Group"),"Missing attendance checks; ","")&amp;IF(L101&lt;&gt;"Pass","Missing field of study; ","")&amp;IF(N101&lt;&gt;"Pass","Invalid program level; ","")&amp;IF(AND(P101="Fail",D101="Self-study"),"Insufficient review questions; ",""),"Check data")</f>
        <v/>
      </c>
    </row>
  </sheetData>
  <conditionalFormatting sqref="T2:T101">
    <cfRule type="expression" priority="1" dxfId="0">
      <formula>T2="Approved"</formula>
    </cfRule>
    <cfRule type="expression" priority="2" dxfId="1">
      <formula>T2="Needs Correction"</formula>
    </cfRule>
    <cfRule type="expression" priority="3" dxfId="2">
      <formula>T2="Escalate"</formula>
    </cfRule>
  </conditionalFormatting>
  <dataValidations count="1">
    <dataValidation sqref="T2:T101" showDropDown="0" showInputMessage="0" showErrorMessage="0" allowBlank="1" type="list">
      <formula1>"Approved,Needs Correction,Escalate,Pending"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40" customWidth="1" min="5" max="5"/>
    <col width="34" customWidth="1" min="6" max="6"/>
    <col width="40" customWidth="1" min="7" max="7"/>
    <col width="40" customWidth="1" min="8" max="8"/>
    <col width="4" customWidth="1" min="9" max="9"/>
    <col width="24" customWidth="1" min="10" max="10"/>
    <col width="37" customWidth="1" min="11" max="11"/>
    <col width="40" customWidth="1" min="12" max="12"/>
  </cols>
  <sheetData>
    <row r="1">
      <c r="A1" s="1" t="inlineStr">
        <is>
          <t>Request ID</t>
        </is>
      </c>
      <c r="B1" s="1" t="inlineStr">
        <is>
          <t>Course Title</t>
        </is>
      </c>
      <c r="C1" s="1" t="inlineStr">
        <is>
          <t>Duration (min)</t>
        </is>
      </c>
      <c r="D1" s="1" t="inlineStr">
        <is>
          <t>Credits (Half-Credit Rounding)</t>
        </is>
      </c>
      <c r="E1" s="1" t="inlineStr">
        <is>
          <t>Credits (Fifth-Credit Rounding)</t>
        </is>
      </c>
      <c r="F1" s="1" t="inlineStr">
        <is>
          <t>Min Learning Objectives</t>
        </is>
      </c>
      <c r="G1" s="1" t="inlineStr">
        <is>
          <t>Rounding Method</t>
        </is>
      </c>
      <c r="H1" s="1" t="inlineStr">
        <is>
          <t>Credit Flag</t>
        </is>
      </c>
      <c r="J1" s="18" t="inlineStr">
        <is>
          <t>Formula Reference</t>
        </is>
      </c>
      <c r="K1" s="18" t="inlineStr">
        <is>
          <t>Formula</t>
        </is>
      </c>
      <c r="L1" s="18" t="inlineStr">
        <is>
          <t>Description</t>
        </is>
      </c>
    </row>
    <row r="2">
      <c r="A2" s="16">
        <f>Requests!A2</f>
        <v/>
      </c>
      <c r="B2" s="16">
        <f>Requests!B2</f>
        <v/>
      </c>
      <c r="C2" s="16">
        <f>Requests!F2</f>
        <v/>
      </c>
      <c r="D2" s="17">
        <f>IF(C2&lt;25,0,FLOOR(C2/50,Rules!$C$15))</f>
        <v/>
      </c>
      <c r="E2" s="17">
        <f>IF(C2&lt;50,0,ROUNDDOWN(C2/50*5,0)/5)</f>
        <v/>
      </c>
      <c r="F2" s="16">
        <f>ROUNDUP(C2/50*Rules!$C$5,0)</f>
        <v/>
      </c>
      <c r="G2" s="16">
        <f>IF(Requests!E2="Group","Half-Credit","Fifth-Credit")</f>
        <v/>
      </c>
      <c r="H2" s="16">
        <f>IF(C2&lt;25,"Flag: &lt; 25 min – no credit",IF(C2&lt;50,"Flag: verify min duration","OK"))</f>
        <v/>
      </c>
      <c r="J2" s="13" t="inlineStr">
        <is>
          <t>Half-Credit Formula</t>
        </is>
      </c>
      <c r="K2" s="13">
        <f>IF(F&lt;25,0,FLOOR(F/50,0.5))</f>
        <v/>
      </c>
      <c r="L2" s="13" t="inlineStr">
        <is>
          <t>Rounds down to nearest 0.5 credit; awards 0 if &lt; 25 min</t>
        </is>
      </c>
    </row>
    <row r="3">
      <c r="A3" s="16">
        <f>Requests!A3</f>
        <v/>
      </c>
      <c r="B3" s="16">
        <f>Requests!B3</f>
        <v/>
      </c>
      <c r="C3" s="16">
        <f>Requests!F3</f>
        <v/>
      </c>
      <c r="D3" s="17">
        <f>IF(C3&lt;25,0,FLOOR(C3/50,Rules!$C$15))</f>
        <v/>
      </c>
      <c r="E3" s="17">
        <f>IF(C3&lt;50,0,ROUNDDOWN(C3/50*5,0)/5)</f>
        <v/>
      </c>
      <c r="F3" s="16">
        <f>ROUNDUP(C3/50*Rules!$C$5,0)</f>
        <v/>
      </c>
      <c r="G3" s="16">
        <f>IF(Requests!E3="Group","Half-Credit","Fifth-Credit")</f>
        <v/>
      </c>
      <c r="H3" s="16">
        <f>IF(C3&lt;25,"Flag: &lt; 25 min – no credit",IF(C3&lt;50,"Flag: verify min duration","OK"))</f>
        <v/>
      </c>
      <c r="J3" s="13" t="inlineStr">
        <is>
          <t>Fifth-Credit Formula</t>
        </is>
      </c>
      <c r="K3" s="13">
        <f>IF(F&lt;50,0,ROUNDDOWN(F/50*5,0)/5)</f>
        <v/>
      </c>
      <c r="L3" s="13" t="inlineStr">
        <is>
          <t>Rounds down to nearest 0.2 credit; awards 0 if &lt; 50 min</t>
        </is>
      </c>
    </row>
    <row r="4">
      <c r="A4" s="16">
        <f>Requests!A4</f>
        <v/>
      </c>
      <c r="B4" s="16">
        <f>Requests!B4</f>
        <v/>
      </c>
      <c r="C4" s="16">
        <f>Requests!F4</f>
        <v/>
      </c>
      <c r="D4" s="17">
        <f>IF(C4&lt;25,0,FLOOR(C4/50,Rules!$C$15))</f>
        <v/>
      </c>
      <c r="E4" s="17">
        <f>IF(C4&lt;50,0,ROUNDDOWN(C4/50*5,0)/5)</f>
        <v/>
      </c>
      <c r="F4" s="16">
        <f>ROUNDUP(C4/50*Rules!$C$5,0)</f>
        <v/>
      </c>
      <c r="G4" s="16">
        <f>IF(Requests!E4="Group","Half-Credit","Fifth-Credit")</f>
        <v/>
      </c>
      <c r="H4" s="16">
        <f>IF(C4&lt;25,"Flag: &lt; 25 min – no credit",IF(C4&lt;50,"Flag: verify min duration","OK"))</f>
        <v/>
      </c>
    </row>
    <row r="5">
      <c r="A5" s="16">
        <f>Requests!A5</f>
        <v/>
      </c>
      <c r="B5" s="16">
        <f>Requests!B5</f>
        <v/>
      </c>
      <c r="C5" s="16">
        <f>Requests!F5</f>
        <v/>
      </c>
      <c r="D5" s="17">
        <f>IF(C5&lt;25,0,FLOOR(C5/50,Rules!$C$15))</f>
        <v/>
      </c>
      <c r="E5" s="17">
        <f>IF(C5&lt;50,0,ROUNDDOWN(C5/50*5,0)/5)</f>
        <v/>
      </c>
      <c r="F5" s="16">
        <f>ROUNDUP(C5/50*Rules!$C$5,0)</f>
        <v/>
      </c>
      <c r="G5" s="16">
        <f>IF(Requests!E5="Group","Half-Credit","Fifth-Credit")</f>
        <v/>
      </c>
      <c r="H5" s="16">
        <f>IF(C5&lt;25,"Flag: &lt; 25 min – no credit",IF(C5&lt;50,"Flag: verify min duration","OK"))</f>
        <v/>
      </c>
    </row>
    <row r="6">
      <c r="A6" s="16">
        <f>Requests!A6</f>
        <v/>
      </c>
      <c r="B6" s="16">
        <f>Requests!B6</f>
        <v/>
      </c>
      <c r="C6" s="16">
        <f>Requests!F6</f>
        <v/>
      </c>
      <c r="D6" s="17">
        <f>IF(C6&lt;25,0,FLOOR(C6/50,Rules!$C$15))</f>
        <v/>
      </c>
      <c r="E6" s="17">
        <f>IF(C6&lt;50,0,ROUNDDOWN(C6/50*5,0)/5)</f>
        <v/>
      </c>
      <c r="F6" s="16">
        <f>ROUNDUP(C6/50*Rules!$C$5,0)</f>
        <v/>
      </c>
      <c r="G6" s="16">
        <f>IF(Requests!E6="Group","Half-Credit","Fifth-Credit")</f>
        <v/>
      </c>
      <c r="H6" s="16">
        <f>IF(C6&lt;25,"Flag: &lt; 25 min – no credit",IF(C6&lt;50,"Flag: verify min duration","OK"))</f>
        <v/>
      </c>
    </row>
    <row r="7">
      <c r="A7" s="16">
        <f>Requests!A7</f>
        <v/>
      </c>
      <c r="B7" s="16">
        <f>Requests!B7</f>
        <v/>
      </c>
      <c r="C7" s="16">
        <f>Requests!F7</f>
        <v/>
      </c>
      <c r="D7" s="17">
        <f>IF(C7&lt;25,0,FLOOR(C7/50,Rules!$C$15))</f>
        <v/>
      </c>
      <c r="E7" s="17">
        <f>IF(C7&lt;50,0,ROUNDDOWN(C7/50*5,0)/5)</f>
        <v/>
      </c>
      <c r="F7" s="16">
        <f>ROUNDUP(C7/50*Rules!$C$5,0)</f>
        <v/>
      </c>
      <c r="G7" s="16">
        <f>IF(Requests!E7="Group","Half-Credit","Fifth-Credit")</f>
        <v/>
      </c>
      <c r="H7" s="16">
        <f>IF(C7&lt;25,"Flag: &lt; 25 min – no credit",IF(C7&lt;50,"Flag: verify min duration","OK"))</f>
        <v/>
      </c>
    </row>
    <row r="8">
      <c r="A8" s="16">
        <f>Requests!A8</f>
        <v/>
      </c>
      <c r="B8" s="16">
        <f>Requests!B8</f>
        <v/>
      </c>
      <c r="C8" s="16">
        <f>Requests!F8</f>
        <v/>
      </c>
      <c r="D8" s="17">
        <f>IF(C8&lt;25,0,FLOOR(C8/50,Rules!$C$15))</f>
        <v/>
      </c>
      <c r="E8" s="17">
        <f>IF(C8&lt;50,0,ROUNDDOWN(C8/50*5,0)/5)</f>
        <v/>
      </c>
      <c r="F8" s="16">
        <f>ROUNDUP(C8/50*Rules!$C$5,0)</f>
        <v/>
      </c>
      <c r="G8" s="16">
        <f>IF(Requests!E8="Group","Half-Credit","Fifth-Credit")</f>
        <v/>
      </c>
      <c r="H8" s="16">
        <f>IF(C8&lt;25,"Flag: &lt; 25 min – no credit",IF(C8&lt;50,"Flag: verify min duration","OK"))</f>
        <v/>
      </c>
    </row>
    <row r="9">
      <c r="A9" s="16">
        <f>Requests!A9</f>
        <v/>
      </c>
      <c r="B9" s="16">
        <f>Requests!B9</f>
        <v/>
      </c>
      <c r="C9" s="16">
        <f>Requests!F9</f>
        <v/>
      </c>
      <c r="D9" s="17">
        <f>IF(C9&lt;25,0,FLOOR(C9/50,Rules!$C$15))</f>
        <v/>
      </c>
      <c r="E9" s="17">
        <f>IF(C9&lt;50,0,ROUNDDOWN(C9/50*5,0)/5)</f>
        <v/>
      </c>
      <c r="F9" s="16">
        <f>ROUNDUP(C9/50*Rules!$C$5,0)</f>
        <v/>
      </c>
      <c r="G9" s="16">
        <f>IF(Requests!E9="Group","Half-Credit","Fifth-Credit")</f>
        <v/>
      </c>
      <c r="H9" s="16">
        <f>IF(C9&lt;25,"Flag: &lt; 25 min – no credit",IF(C9&lt;50,"Flag: verify min duration","OK"))</f>
        <v/>
      </c>
    </row>
    <row r="10">
      <c r="A10" s="16">
        <f>Requests!A10</f>
        <v/>
      </c>
      <c r="B10" s="16">
        <f>Requests!B10</f>
        <v/>
      </c>
      <c r="C10" s="16">
        <f>Requests!F10</f>
        <v/>
      </c>
      <c r="D10" s="17">
        <f>IF(C10&lt;25,0,FLOOR(C10/50,Rules!$C$15))</f>
        <v/>
      </c>
      <c r="E10" s="17">
        <f>IF(C10&lt;50,0,ROUNDDOWN(C10/50*5,0)/5)</f>
        <v/>
      </c>
      <c r="F10" s="16">
        <f>ROUNDUP(C10/50*Rules!$C$5,0)</f>
        <v/>
      </c>
      <c r="G10" s="16">
        <f>IF(Requests!E10="Group","Half-Credit","Fifth-Credit")</f>
        <v/>
      </c>
      <c r="H10" s="16">
        <f>IF(C10&lt;25,"Flag: &lt; 25 min – no credit",IF(C10&lt;50,"Flag: verify min duration","OK"))</f>
        <v/>
      </c>
    </row>
    <row r="11">
      <c r="A11" s="16">
        <f>Requests!A11</f>
        <v/>
      </c>
      <c r="B11" s="16">
        <f>Requests!B11</f>
        <v/>
      </c>
      <c r="C11" s="16">
        <f>Requests!F11</f>
        <v/>
      </c>
      <c r="D11" s="17">
        <f>IF(C11&lt;25,0,FLOOR(C11/50,Rules!$C$15))</f>
        <v/>
      </c>
      <c r="E11" s="17">
        <f>IF(C11&lt;50,0,ROUNDDOWN(C11/50*5,0)/5)</f>
        <v/>
      </c>
      <c r="F11" s="16">
        <f>ROUNDUP(C11/50*Rules!$C$5,0)</f>
        <v/>
      </c>
      <c r="G11" s="16">
        <f>IF(Requests!E11="Group","Half-Credit","Fifth-Credit")</f>
        <v/>
      </c>
      <c r="H11" s="16">
        <f>IF(C11&lt;25,"Flag: &lt; 25 min – no credit",IF(C11&lt;50,"Flag: verify min duration","OK"))</f>
        <v/>
      </c>
    </row>
    <row r="12">
      <c r="A12" s="16">
        <f>Requests!A12</f>
        <v/>
      </c>
      <c r="B12" s="16">
        <f>Requests!B12</f>
        <v/>
      </c>
      <c r="C12" s="16">
        <f>Requests!F12</f>
        <v/>
      </c>
      <c r="D12" s="17">
        <f>IF(C12&lt;25,0,FLOOR(C12/50,Rules!$C$15))</f>
        <v/>
      </c>
      <c r="E12" s="17">
        <f>IF(C12&lt;50,0,ROUNDDOWN(C12/50*5,0)/5)</f>
        <v/>
      </c>
      <c r="F12" s="16">
        <f>ROUNDUP(C12/50*Rules!$C$5,0)</f>
        <v/>
      </c>
      <c r="G12" s="16">
        <f>IF(Requests!E12="Group","Half-Credit","Fifth-Credit")</f>
        <v/>
      </c>
      <c r="H12" s="16">
        <f>IF(C12&lt;25,"Flag: &lt; 25 min – no credit",IF(C12&lt;50,"Flag: verify min duration","OK"))</f>
        <v/>
      </c>
    </row>
    <row r="13">
      <c r="A13" s="16">
        <f>Requests!A13</f>
        <v/>
      </c>
      <c r="B13" s="16">
        <f>Requests!B13</f>
        <v/>
      </c>
      <c r="C13" s="16">
        <f>Requests!F13</f>
        <v/>
      </c>
      <c r="D13" s="17">
        <f>IF(C13&lt;25,0,FLOOR(C13/50,Rules!$C$15))</f>
        <v/>
      </c>
      <c r="E13" s="17">
        <f>IF(C13&lt;50,0,ROUNDDOWN(C13/50*5,0)/5)</f>
        <v/>
      </c>
      <c r="F13" s="16">
        <f>ROUNDUP(C13/50*Rules!$C$5,0)</f>
        <v/>
      </c>
      <c r="G13" s="16">
        <f>IF(Requests!E13="Group","Half-Credit","Fifth-Credit")</f>
        <v/>
      </c>
      <c r="H13" s="16">
        <f>IF(C13&lt;25,"Flag: &lt; 25 min – no credit",IF(C13&lt;50,"Flag: verify min duration","OK"))</f>
        <v/>
      </c>
    </row>
    <row r="14">
      <c r="A14" s="16">
        <f>Requests!A14</f>
        <v/>
      </c>
      <c r="B14" s="16">
        <f>Requests!B14</f>
        <v/>
      </c>
      <c r="C14" s="16">
        <f>Requests!F14</f>
        <v/>
      </c>
      <c r="D14" s="17">
        <f>IF(C14&lt;25,0,FLOOR(C14/50,Rules!$C$15))</f>
        <v/>
      </c>
      <c r="E14" s="17">
        <f>IF(C14&lt;50,0,ROUNDDOWN(C14/50*5,0)/5)</f>
        <v/>
      </c>
      <c r="F14" s="16">
        <f>ROUNDUP(C14/50*Rules!$C$5,0)</f>
        <v/>
      </c>
      <c r="G14" s="16">
        <f>IF(Requests!E14="Group","Half-Credit","Fifth-Credit")</f>
        <v/>
      </c>
      <c r="H14" s="16">
        <f>IF(C14&lt;25,"Flag: &lt; 25 min – no credit",IF(C14&lt;50,"Flag: verify min duration","OK"))</f>
        <v/>
      </c>
    </row>
    <row r="15">
      <c r="A15" s="16">
        <f>Requests!A15</f>
        <v/>
      </c>
      <c r="B15" s="16">
        <f>Requests!B15</f>
        <v/>
      </c>
      <c r="C15" s="16">
        <f>Requests!F15</f>
        <v/>
      </c>
      <c r="D15" s="17">
        <f>IF(C15&lt;25,0,FLOOR(C15/50,Rules!$C$15))</f>
        <v/>
      </c>
      <c r="E15" s="17">
        <f>IF(C15&lt;50,0,ROUNDDOWN(C15/50*5,0)/5)</f>
        <v/>
      </c>
      <c r="F15" s="16">
        <f>ROUNDUP(C15/50*Rules!$C$5,0)</f>
        <v/>
      </c>
      <c r="G15" s="16">
        <f>IF(Requests!E15="Group","Half-Credit","Fifth-Credit")</f>
        <v/>
      </c>
      <c r="H15" s="16">
        <f>IF(C15&lt;25,"Flag: &lt; 25 min – no credit",IF(C15&lt;50,"Flag: verify min duration","OK"))</f>
        <v/>
      </c>
    </row>
    <row r="16">
      <c r="A16" s="16">
        <f>Requests!A16</f>
        <v/>
      </c>
      <c r="B16" s="16">
        <f>Requests!B16</f>
        <v/>
      </c>
      <c r="C16" s="16">
        <f>Requests!F16</f>
        <v/>
      </c>
      <c r="D16" s="17">
        <f>IF(C16&lt;25,0,FLOOR(C16/50,Rules!$C$15))</f>
        <v/>
      </c>
      <c r="E16" s="17">
        <f>IF(C16&lt;50,0,ROUNDDOWN(C16/50*5,0)/5)</f>
        <v/>
      </c>
      <c r="F16" s="16">
        <f>ROUNDUP(C16/50*Rules!$C$5,0)</f>
        <v/>
      </c>
      <c r="G16" s="16">
        <f>IF(Requests!E16="Group","Half-Credit","Fifth-Credit")</f>
        <v/>
      </c>
      <c r="H16" s="16">
        <f>IF(C16&lt;25,"Flag: &lt; 25 min – no credit",IF(C16&lt;50,"Flag: verify min duration","OK"))</f>
        <v/>
      </c>
    </row>
    <row r="17">
      <c r="A17" s="16">
        <f>Requests!A17</f>
        <v/>
      </c>
      <c r="B17" s="16">
        <f>Requests!B17</f>
        <v/>
      </c>
      <c r="C17" s="16">
        <f>Requests!F17</f>
        <v/>
      </c>
      <c r="D17" s="17">
        <f>IF(C17&lt;25,0,FLOOR(C17/50,Rules!$C$15))</f>
        <v/>
      </c>
      <c r="E17" s="17">
        <f>IF(C17&lt;50,0,ROUNDDOWN(C17/50*5,0)/5)</f>
        <v/>
      </c>
      <c r="F17" s="16">
        <f>ROUNDUP(C17/50*Rules!$C$5,0)</f>
        <v/>
      </c>
      <c r="G17" s="16">
        <f>IF(Requests!E17="Group","Half-Credit","Fifth-Credit")</f>
        <v/>
      </c>
      <c r="H17" s="16">
        <f>IF(C17&lt;25,"Flag: &lt; 25 min – no credit",IF(C17&lt;50,"Flag: verify min duration","OK"))</f>
        <v/>
      </c>
    </row>
    <row r="18">
      <c r="A18" s="16">
        <f>Requests!A18</f>
        <v/>
      </c>
      <c r="B18" s="16">
        <f>Requests!B18</f>
        <v/>
      </c>
      <c r="C18" s="16">
        <f>Requests!F18</f>
        <v/>
      </c>
      <c r="D18" s="17">
        <f>IF(C18&lt;25,0,FLOOR(C18/50,Rules!$C$15))</f>
        <v/>
      </c>
      <c r="E18" s="17">
        <f>IF(C18&lt;50,0,ROUNDDOWN(C18/50*5,0)/5)</f>
        <v/>
      </c>
      <c r="F18" s="16">
        <f>ROUNDUP(C18/50*Rules!$C$5,0)</f>
        <v/>
      </c>
      <c r="G18" s="16">
        <f>IF(Requests!E18="Group","Half-Credit","Fifth-Credit")</f>
        <v/>
      </c>
      <c r="H18" s="16">
        <f>IF(C18&lt;25,"Flag: &lt; 25 min – no credit",IF(C18&lt;50,"Flag: verify min duration","OK"))</f>
        <v/>
      </c>
    </row>
    <row r="19">
      <c r="A19" s="16">
        <f>Requests!A19</f>
        <v/>
      </c>
      <c r="B19" s="16">
        <f>Requests!B19</f>
        <v/>
      </c>
      <c r="C19" s="16">
        <f>Requests!F19</f>
        <v/>
      </c>
      <c r="D19" s="17">
        <f>IF(C19&lt;25,0,FLOOR(C19/50,Rules!$C$15))</f>
        <v/>
      </c>
      <c r="E19" s="17">
        <f>IF(C19&lt;50,0,ROUNDDOWN(C19/50*5,0)/5)</f>
        <v/>
      </c>
      <c r="F19" s="16">
        <f>ROUNDUP(C19/50*Rules!$C$5,0)</f>
        <v/>
      </c>
      <c r="G19" s="16">
        <f>IF(Requests!E19="Group","Half-Credit","Fifth-Credit")</f>
        <v/>
      </c>
      <c r="H19" s="16">
        <f>IF(C19&lt;25,"Flag: &lt; 25 min – no credit",IF(C19&lt;50,"Flag: verify min duration","OK"))</f>
        <v/>
      </c>
    </row>
    <row r="20">
      <c r="A20" s="16">
        <f>Requests!A20</f>
        <v/>
      </c>
      <c r="B20" s="16">
        <f>Requests!B20</f>
        <v/>
      </c>
      <c r="C20" s="16">
        <f>Requests!F20</f>
        <v/>
      </c>
      <c r="D20" s="17">
        <f>IF(C20&lt;25,0,FLOOR(C20/50,Rules!$C$15))</f>
        <v/>
      </c>
      <c r="E20" s="17">
        <f>IF(C20&lt;50,0,ROUNDDOWN(C20/50*5,0)/5)</f>
        <v/>
      </c>
      <c r="F20" s="16">
        <f>ROUNDUP(C20/50*Rules!$C$5,0)</f>
        <v/>
      </c>
      <c r="G20" s="16">
        <f>IF(Requests!E20="Group","Half-Credit","Fifth-Credit")</f>
        <v/>
      </c>
      <c r="H20" s="16">
        <f>IF(C20&lt;25,"Flag: &lt; 25 min – no credit",IF(C20&lt;50,"Flag: verify min duration","OK"))</f>
        <v/>
      </c>
    </row>
    <row r="21">
      <c r="A21" s="16">
        <f>Requests!A21</f>
        <v/>
      </c>
      <c r="B21" s="16">
        <f>Requests!B21</f>
        <v/>
      </c>
      <c r="C21" s="16">
        <f>Requests!F21</f>
        <v/>
      </c>
      <c r="D21" s="17">
        <f>IF(C21&lt;25,0,FLOOR(C21/50,Rules!$C$15))</f>
        <v/>
      </c>
      <c r="E21" s="17">
        <f>IF(C21&lt;50,0,ROUNDDOWN(C21/50*5,0)/5)</f>
        <v/>
      </c>
      <c r="F21" s="16">
        <f>ROUNDUP(C21/50*Rules!$C$5,0)</f>
        <v/>
      </c>
      <c r="G21" s="16">
        <f>IF(Requests!E21="Group","Half-Credit","Fifth-Credit")</f>
        <v/>
      </c>
      <c r="H21" s="16">
        <f>IF(C21&lt;25,"Flag: &lt; 25 min – no credit",IF(C21&lt;50,"Flag: verify min duration","OK"))</f>
        <v/>
      </c>
    </row>
    <row r="22">
      <c r="A22" s="16">
        <f>Requests!A22</f>
        <v/>
      </c>
      <c r="B22" s="16">
        <f>Requests!B22</f>
        <v/>
      </c>
      <c r="C22" s="16">
        <f>Requests!F22</f>
        <v/>
      </c>
      <c r="D22" s="17">
        <f>IF(C22&lt;25,0,FLOOR(C22/50,Rules!$C$15))</f>
        <v/>
      </c>
      <c r="E22" s="17">
        <f>IF(C22&lt;50,0,ROUNDDOWN(C22/50*5,0)/5)</f>
        <v/>
      </c>
      <c r="F22" s="16">
        <f>ROUNDUP(C22/50*Rules!$C$5,0)</f>
        <v/>
      </c>
      <c r="G22" s="16">
        <f>IF(Requests!E22="Group","Half-Credit","Fifth-Credit")</f>
        <v/>
      </c>
      <c r="H22" s="16">
        <f>IF(C22&lt;25,"Flag: &lt; 25 min – no credit",IF(C22&lt;50,"Flag: verify min duration","OK"))</f>
        <v/>
      </c>
    </row>
    <row r="23">
      <c r="A23" s="16">
        <f>Requests!A23</f>
        <v/>
      </c>
      <c r="B23" s="16">
        <f>Requests!B23</f>
        <v/>
      </c>
      <c r="C23" s="16">
        <f>Requests!F23</f>
        <v/>
      </c>
      <c r="D23" s="17">
        <f>IF(C23&lt;25,0,FLOOR(C23/50,Rules!$C$15))</f>
        <v/>
      </c>
      <c r="E23" s="17">
        <f>IF(C23&lt;50,0,ROUNDDOWN(C23/50*5,0)/5)</f>
        <v/>
      </c>
      <c r="F23" s="16">
        <f>ROUNDUP(C23/50*Rules!$C$5,0)</f>
        <v/>
      </c>
      <c r="G23" s="16">
        <f>IF(Requests!E23="Group","Half-Credit","Fifth-Credit")</f>
        <v/>
      </c>
      <c r="H23" s="16">
        <f>IF(C23&lt;25,"Flag: &lt; 25 min – no credit",IF(C23&lt;50,"Flag: verify min duration","OK"))</f>
        <v/>
      </c>
    </row>
    <row r="24">
      <c r="A24" s="16">
        <f>Requests!A24</f>
        <v/>
      </c>
      <c r="B24" s="16">
        <f>Requests!B24</f>
        <v/>
      </c>
      <c r="C24" s="16">
        <f>Requests!F24</f>
        <v/>
      </c>
      <c r="D24" s="17">
        <f>IF(C24&lt;25,0,FLOOR(C24/50,Rules!$C$15))</f>
        <v/>
      </c>
      <c r="E24" s="17">
        <f>IF(C24&lt;50,0,ROUNDDOWN(C24/50*5,0)/5)</f>
        <v/>
      </c>
      <c r="F24" s="16">
        <f>ROUNDUP(C24/50*Rules!$C$5,0)</f>
        <v/>
      </c>
      <c r="G24" s="16">
        <f>IF(Requests!E24="Group","Half-Credit","Fifth-Credit")</f>
        <v/>
      </c>
      <c r="H24" s="16">
        <f>IF(C24&lt;25,"Flag: &lt; 25 min – no credit",IF(C24&lt;50,"Flag: verify min duration","OK"))</f>
        <v/>
      </c>
    </row>
    <row r="25">
      <c r="A25" s="16">
        <f>Requests!A25</f>
        <v/>
      </c>
      <c r="B25" s="16">
        <f>Requests!B25</f>
        <v/>
      </c>
      <c r="C25" s="16">
        <f>Requests!F25</f>
        <v/>
      </c>
      <c r="D25" s="17">
        <f>IF(C25&lt;25,0,FLOOR(C25/50,Rules!$C$15))</f>
        <v/>
      </c>
      <c r="E25" s="17">
        <f>IF(C25&lt;50,0,ROUNDDOWN(C25/50*5,0)/5)</f>
        <v/>
      </c>
      <c r="F25" s="16">
        <f>ROUNDUP(C25/50*Rules!$C$5,0)</f>
        <v/>
      </c>
      <c r="G25" s="16">
        <f>IF(Requests!E25="Group","Half-Credit","Fifth-Credit")</f>
        <v/>
      </c>
      <c r="H25" s="16">
        <f>IF(C25&lt;25,"Flag: &lt; 25 min – no credit",IF(C25&lt;50,"Flag: verify min duration","OK"))</f>
        <v/>
      </c>
    </row>
    <row r="26">
      <c r="A26" s="16">
        <f>Requests!A26</f>
        <v/>
      </c>
      <c r="B26" s="16">
        <f>Requests!B26</f>
        <v/>
      </c>
      <c r="C26" s="16">
        <f>Requests!F26</f>
        <v/>
      </c>
      <c r="D26" s="17">
        <f>IF(C26&lt;25,0,FLOOR(C26/50,Rules!$C$15))</f>
        <v/>
      </c>
      <c r="E26" s="17">
        <f>IF(C26&lt;50,0,ROUNDDOWN(C26/50*5,0)/5)</f>
        <v/>
      </c>
      <c r="F26" s="16">
        <f>ROUNDUP(C26/50*Rules!$C$5,0)</f>
        <v/>
      </c>
      <c r="G26" s="16">
        <f>IF(Requests!E26="Group","Half-Credit","Fifth-Credit")</f>
        <v/>
      </c>
      <c r="H26" s="16">
        <f>IF(C26&lt;25,"Flag: &lt; 25 min – no credit",IF(C26&lt;50,"Flag: verify min duration","OK"))</f>
        <v/>
      </c>
    </row>
    <row r="27">
      <c r="A27" s="16">
        <f>Requests!A27</f>
        <v/>
      </c>
      <c r="B27" s="16">
        <f>Requests!B27</f>
        <v/>
      </c>
      <c r="C27" s="16">
        <f>Requests!F27</f>
        <v/>
      </c>
      <c r="D27" s="17">
        <f>IF(C27&lt;25,0,FLOOR(C27/50,Rules!$C$15))</f>
        <v/>
      </c>
      <c r="E27" s="17">
        <f>IF(C27&lt;50,0,ROUNDDOWN(C27/50*5,0)/5)</f>
        <v/>
      </c>
      <c r="F27" s="16">
        <f>ROUNDUP(C27/50*Rules!$C$5,0)</f>
        <v/>
      </c>
      <c r="G27" s="16">
        <f>IF(Requests!E27="Group","Half-Credit","Fifth-Credit")</f>
        <v/>
      </c>
      <c r="H27" s="16">
        <f>IF(C27&lt;25,"Flag: &lt; 25 min – no credit",IF(C27&lt;50,"Flag: verify min duration","OK"))</f>
        <v/>
      </c>
    </row>
    <row r="28">
      <c r="A28" s="16">
        <f>Requests!A28</f>
        <v/>
      </c>
      <c r="B28" s="16">
        <f>Requests!B28</f>
        <v/>
      </c>
      <c r="C28" s="16">
        <f>Requests!F28</f>
        <v/>
      </c>
      <c r="D28" s="17">
        <f>IF(C28&lt;25,0,FLOOR(C28/50,Rules!$C$15))</f>
        <v/>
      </c>
      <c r="E28" s="17">
        <f>IF(C28&lt;50,0,ROUNDDOWN(C28/50*5,0)/5)</f>
        <v/>
      </c>
      <c r="F28" s="16">
        <f>ROUNDUP(C28/50*Rules!$C$5,0)</f>
        <v/>
      </c>
      <c r="G28" s="16">
        <f>IF(Requests!E28="Group","Half-Credit","Fifth-Credit")</f>
        <v/>
      </c>
      <c r="H28" s="16">
        <f>IF(C28&lt;25,"Flag: &lt; 25 min – no credit",IF(C28&lt;50,"Flag: verify min duration","OK"))</f>
        <v/>
      </c>
    </row>
    <row r="29">
      <c r="A29" s="16">
        <f>Requests!A29</f>
        <v/>
      </c>
      <c r="B29" s="16">
        <f>Requests!B29</f>
        <v/>
      </c>
      <c r="C29" s="16">
        <f>Requests!F29</f>
        <v/>
      </c>
      <c r="D29" s="17">
        <f>IF(C29&lt;25,0,FLOOR(C29/50,Rules!$C$15))</f>
        <v/>
      </c>
      <c r="E29" s="17">
        <f>IF(C29&lt;50,0,ROUNDDOWN(C29/50*5,0)/5)</f>
        <v/>
      </c>
      <c r="F29" s="16">
        <f>ROUNDUP(C29/50*Rules!$C$5,0)</f>
        <v/>
      </c>
      <c r="G29" s="16">
        <f>IF(Requests!E29="Group","Half-Credit","Fifth-Credit")</f>
        <v/>
      </c>
      <c r="H29" s="16">
        <f>IF(C29&lt;25,"Flag: &lt; 25 min – no credit",IF(C29&lt;50,"Flag: verify min duration","OK"))</f>
        <v/>
      </c>
    </row>
    <row r="30">
      <c r="A30" s="16">
        <f>Requests!A30</f>
        <v/>
      </c>
      <c r="B30" s="16">
        <f>Requests!B30</f>
        <v/>
      </c>
      <c r="C30" s="16">
        <f>Requests!F30</f>
        <v/>
      </c>
      <c r="D30" s="17">
        <f>IF(C30&lt;25,0,FLOOR(C30/50,Rules!$C$15))</f>
        <v/>
      </c>
      <c r="E30" s="17">
        <f>IF(C30&lt;50,0,ROUNDDOWN(C30/50*5,0)/5)</f>
        <v/>
      </c>
      <c r="F30" s="16">
        <f>ROUNDUP(C30/50*Rules!$C$5,0)</f>
        <v/>
      </c>
      <c r="G30" s="16">
        <f>IF(Requests!E30="Group","Half-Credit","Fifth-Credit")</f>
        <v/>
      </c>
      <c r="H30" s="16">
        <f>IF(C30&lt;25,"Flag: &lt; 25 min – no credit",IF(C30&lt;50,"Flag: verify min duration","OK"))</f>
        <v/>
      </c>
    </row>
    <row r="31">
      <c r="A31" s="16">
        <f>Requests!A31</f>
        <v/>
      </c>
      <c r="B31" s="16">
        <f>Requests!B31</f>
        <v/>
      </c>
      <c r="C31" s="16">
        <f>Requests!F31</f>
        <v/>
      </c>
      <c r="D31" s="17">
        <f>IF(C31&lt;25,0,FLOOR(C31/50,Rules!$C$15))</f>
        <v/>
      </c>
      <c r="E31" s="17">
        <f>IF(C31&lt;50,0,ROUNDDOWN(C31/50*5,0)/5)</f>
        <v/>
      </c>
      <c r="F31" s="16">
        <f>ROUNDUP(C31/50*Rules!$C$5,0)</f>
        <v/>
      </c>
      <c r="G31" s="16">
        <f>IF(Requests!E31="Group","Half-Credit","Fifth-Credit")</f>
        <v/>
      </c>
      <c r="H31" s="16">
        <f>IF(C31&lt;25,"Flag: &lt; 25 min – no credit",IF(C31&lt;50,"Flag: verify min duration","OK"))</f>
        <v/>
      </c>
    </row>
    <row r="32">
      <c r="A32" s="16">
        <f>Requests!A32</f>
        <v/>
      </c>
      <c r="B32" s="16">
        <f>Requests!B32</f>
        <v/>
      </c>
      <c r="C32" s="16">
        <f>Requests!F32</f>
        <v/>
      </c>
      <c r="D32" s="17">
        <f>IF(C32&lt;25,0,FLOOR(C32/50,Rules!$C$15))</f>
        <v/>
      </c>
      <c r="E32" s="17">
        <f>IF(C32&lt;50,0,ROUNDDOWN(C32/50*5,0)/5)</f>
        <v/>
      </c>
      <c r="F32" s="16">
        <f>ROUNDUP(C32/50*Rules!$C$5,0)</f>
        <v/>
      </c>
      <c r="G32" s="16">
        <f>IF(Requests!E32="Group","Half-Credit","Fifth-Credit")</f>
        <v/>
      </c>
      <c r="H32" s="16">
        <f>IF(C32&lt;25,"Flag: &lt; 25 min – no credit",IF(C32&lt;50,"Flag: verify min duration","OK"))</f>
        <v/>
      </c>
    </row>
    <row r="33">
      <c r="A33" s="16">
        <f>Requests!A33</f>
        <v/>
      </c>
      <c r="B33" s="16">
        <f>Requests!B33</f>
        <v/>
      </c>
      <c r="C33" s="16">
        <f>Requests!F33</f>
        <v/>
      </c>
      <c r="D33" s="17">
        <f>IF(C33&lt;25,0,FLOOR(C33/50,Rules!$C$15))</f>
        <v/>
      </c>
      <c r="E33" s="17">
        <f>IF(C33&lt;50,0,ROUNDDOWN(C33/50*5,0)/5)</f>
        <v/>
      </c>
      <c r="F33" s="16">
        <f>ROUNDUP(C33/50*Rules!$C$5,0)</f>
        <v/>
      </c>
      <c r="G33" s="16">
        <f>IF(Requests!E33="Group","Half-Credit","Fifth-Credit")</f>
        <v/>
      </c>
      <c r="H33" s="16">
        <f>IF(C33&lt;25,"Flag: &lt; 25 min – no credit",IF(C33&lt;50,"Flag: verify min duration","OK"))</f>
        <v/>
      </c>
    </row>
    <row r="34">
      <c r="A34" s="16">
        <f>Requests!A34</f>
        <v/>
      </c>
      <c r="B34" s="16">
        <f>Requests!B34</f>
        <v/>
      </c>
      <c r="C34" s="16">
        <f>Requests!F34</f>
        <v/>
      </c>
      <c r="D34" s="17">
        <f>IF(C34&lt;25,0,FLOOR(C34/50,Rules!$C$15))</f>
        <v/>
      </c>
      <c r="E34" s="17">
        <f>IF(C34&lt;50,0,ROUNDDOWN(C34/50*5,0)/5)</f>
        <v/>
      </c>
      <c r="F34" s="16">
        <f>ROUNDUP(C34/50*Rules!$C$5,0)</f>
        <v/>
      </c>
      <c r="G34" s="16">
        <f>IF(Requests!E34="Group","Half-Credit","Fifth-Credit")</f>
        <v/>
      </c>
      <c r="H34" s="16">
        <f>IF(C34&lt;25,"Flag: &lt; 25 min – no credit",IF(C34&lt;50,"Flag: verify min duration","OK"))</f>
        <v/>
      </c>
    </row>
    <row r="35">
      <c r="A35" s="16">
        <f>Requests!A35</f>
        <v/>
      </c>
      <c r="B35" s="16">
        <f>Requests!B35</f>
        <v/>
      </c>
      <c r="C35" s="16">
        <f>Requests!F35</f>
        <v/>
      </c>
      <c r="D35" s="17">
        <f>IF(C35&lt;25,0,FLOOR(C35/50,Rules!$C$15))</f>
        <v/>
      </c>
      <c r="E35" s="17">
        <f>IF(C35&lt;50,0,ROUNDDOWN(C35/50*5,0)/5)</f>
        <v/>
      </c>
      <c r="F35" s="16">
        <f>ROUNDUP(C35/50*Rules!$C$5,0)</f>
        <v/>
      </c>
      <c r="G35" s="16">
        <f>IF(Requests!E35="Group","Half-Credit","Fifth-Credit")</f>
        <v/>
      </c>
      <c r="H35" s="16">
        <f>IF(C35&lt;25,"Flag: &lt; 25 min – no credit",IF(C35&lt;50,"Flag: verify min duration","OK"))</f>
        <v/>
      </c>
    </row>
    <row r="36">
      <c r="A36" s="16">
        <f>Requests!A36</f>
        <v/>
      </c>
      <c r="B36" s="16">
        <f>Requests!B36</f>
        <v/>
      </c>
      <c r="C36" s="16">
        <f>Requests!F36</f>
        <v/>
      </c>
      <c r="D36" s="17">
        <f>IF(C36&lt;25,0,FLOOR(C36/50,Rules!$C$15))</f>
        <v/>
      </c>
      <c r="E36" s="17">
        <f>IF(C36&lt;50,0,ROUNDDOWN(C36/50*5,0)/5)</f>
        <v/>
      </c>
      <c r="F36" s="16">
        <f>ROUNDUP(C36/50*Rules!$C$5,0)</f>
        <v/>
      </c>
      <c r="G36" s="16">
        <f>IF(Requests!E36="Group","Half-Credit","Fifth-Credit")</f>
        <v/>
      </c>
      <c r="H36" s="16">
        <f>IF(C36&lt;25,"Flag: &lt; 25 min – no credit",IF(C36&lt;50,"Flag: verify min duration","OK"))</f>
        <v/>
      </c>
    </row>
    <row r="37">
      <c r="A37" s="16">
        <f>Requests!A37</f>
        <v/>
      </c>
      <c r="B37" s="16">
        <f>Requests!B37</f>
        <v/>
      </c>
      <c r="C37" s="16">
        <f>Requests!F37</f>
        <v/>
      </c>
      <c r="D37" s="17">
        <f>IF(C37&lt;25,0,FLOOR(C37/50,Rules!$C$15))</f>
        <v/>
      </c>
      <c r="E37" s="17">
        <f>IF(C37&lt;50,0,ROUNDDOWN(C37/50*5,0)/5)</f>
        <v/>
      </c>
      <c r="F37" s="16">
        <f>ROUNDUP(C37/50*Rules!$C$5,0)</f>
        <v/>
      </c>
      <c r="G37" s="16">
        <f>IF(Requests!E37="Group","Half-Credit","Fifth-Credit")</f>
        <v/>
      </c>
      <c r="H37" s="16">
        <f>IF(C37&lt;25,"Flag: &lt; 25 min – no credit",IF(C37&lt;50,"Flag: verify min duration","OK"))</f>
        <v/>
      </c>
    </row>
    <row r="38">
      <c r="A38" s="16">
        <f>Requests!A38</f>
        <v/>
      </c>
      <c r="B38" s="16">
        <f>Requests!B38</f>
        <v/>
      </c>
      <c r="C38" s="16">
        <f>Requests!F38</f>
        <v/>
      </c>
      <c r="D38" s="17">
        <f>IF(C38&lt;25,0,FLOOR(C38/50,Rules!$C$15))</f>
        <v/>
      </c>
      <c r="E38" s="17">
        <f>IF(C38&lt;50,0,ROUNDDOWN(C38/50*5,0)/5)</f>
        <v/>
      </c>
      <c r="F38" s="16">
        <f>ROUNDUP(C38/50*Rules!$C$5,0)</f>
        <v/>
      </c>
      <c r="G38" s="16">
        <f>IF(Requests!E38="Group","Half-Credit","Fifth-Credit")</f>
        <v/>
      </c>
      <c r="H38" s="16">
        <f>IF(C38&lt;25,"Flag: &lt; 25 min – no credit",IF(C38&lt;50,"Flag: verify min duration","OK"))</f>
        <v/>
      </c>
    </row>
    <row r="39">
      <c r="A39" s="16">
        <f>Requests!A39</f>
        <v/>
      </c>
      <c r="B39" s="16">
        <f>Requests!B39</f>
        <v/>
      </c>
      <c r="C39" s="16">
        <f>Requests!F39</f>
        <v/>
      </c>
      <c r="D39" s="17">
        <f>IF(C39&lt;25,0,FLOOR(C39/50,Rules!$C$15))</f>
        <v/>
      </c>
      <c r="E39" s="17">
        <f>IF(C39&lt;50,0,ROUNDDOWN(C39/50*5,0)/5)</f>
        <v/>
      </c>
      <c r="F39" s="16">
        <f>ROUNDUP(C39/50*Rules!$C$5,0)</f>
        <v/>
      </c>
      <c r="G39" s="16">
        <f>IF(Requests!E39="Group","Half-Credit","Fifth-Credit")</f>
        <v/>
      </c>
      <c r="H39" s="16">
        <f>IF(C39&lt;25,"Flag: &lt; 25 min – no credit",IF(C39&lt;50,"Flag: verify min duration","OK"))</f>
        <v/>
      </c>
    </row>
    <row r="40">
      <c r="A40" s="16">
        <f>Requests!A40</f>
        <v/>
      </c>
      <c r="B40" s="16">
        <f>Requests!B40</f>
        <v/>
      </c>
      <c r="C40" s="16">
        <f>Requests!F40</f>
        <v/>
      </c>
      <c r="D40" s="17">
        <f>IF(C40&lt;25,0,FLOOR(C40/50,Rules!$C$15))</f>
        <v/>
      </c>
      <c r="E40" s="17">
        <f>IF(C40&lt;50,0,ROUNDDOWN(C40/50*5,0)/5)</f>
        <v/>
      </c>
      <c r="F40" s="16">
        <f>ROUNDUP(C40/50*Rules!$C$5,0)</f>
        <v/>
      </c>
      <c r="G40" s="16">
        <f>IF(Requests!E40="Group","Half-Credit","Fifth-Credit")</f>
        <v/>
      </c>
      <c r="H40" s="16">
        <f>IF(C40&lt;25,"Flag: &lt; 25 min – no credit",IF(C40&lt;50,"Flag: verify min duration","OK"))</f>
        <v/>
      </c>
    </row>
    <row r="41">
      <c r="A41" s="16">
        <f>Requests!A41</f>
        <v/>
      </c>
      <c r="B41" s="16">
        <f>Requests!B41</f>
        <v/>
      </c>
      <c r="C41" s="16">
        <f>Requests!F41</f>
        <v/>
      </c>
      <c r="D41" s="17">
        <f>IF(C41&lt;25,0,FLOOR(C41/50,Rules!$C$15))</f>
        <v/>
      </c>
      <c r="E41" s="17">
        <f>IF(C41&lt;50,0,ROUNDDOWN(C41/50*5,0)/5)</f>
        <v/>
      </c>
      <c r="F41" s="16">
        <f>ROUNDUP(C41/50*Rules!$C$5,0)</f>
        <v/>
      </c>
      <c r="G41" s="16">
        <f>IF(Requests!E41="Group","Half-Credit","Fifth-Credit")</f>
        <v/>
      </c>
      <c r="H41" s="16">
        <f>IF(C41&lt;25,"Flag: &lt; 25 min – no credit",IF(C41&lt;50,"Flag: verify min duration","OK"))</f>
        <v/>
      </c>
    </row>
    <row r="42">
      <c r="A42" s="16">
        <f>Requests!A42</f>
        <v/>
      </c>
      <c r="B42" s="16">
        <f>Requests!B42</f>
        <v/>
      </c>
      <c r="C42" s="16">
        <f>Requests!F42</f>
        <v/>
      </c>
      <c r="D42" s="17">
        <f>IF(C42&lt;25,0,FLOOR(C42/50,Rules!$C$15))</f>
        <v/>
      </c>
      <c r="E42" s="17">
        <f>IF(C42&lt;50,0,ROUNDDOWN(C42/50*5,0)/5)</f>
        <v/>
      </c>
      <c r="F42" s="16">
        <f>ROUNDUP(C42/50*Rules!$C$5,0)</f>
        <v/>
      </c>
      <c r="G42" s="16">
        <f>IF(Requests!E42="Group","Half-Credit","Fifth-Credit")</f>
        <v/>
      </c>
      <c r="H42" s="16">
        <f>IF(C42&lt;25,"Flag: &lt; 25 min – no credit",IF(C42&lt;50,"Flag: verify min duration","OK"))</f>
        <v/>
      </c>
    </row>
    <row r="43">
      <c r="A43" s="16">
        <f>Requests!A43</f>
        <v/>
      </c>
      <c r="B43" s="16">
        <f>Requests!B43</f>
        <v/>
      </c>
      <c r="C43" s="16">
        <f>Requests!F43</f>
        <v/>
      </c>
      <c r="D43" s="17">
        <f>IF(C43&lt;25,0,FLOOR(C43/50,Rules!$C$15))</f>
        <v/>
      </c>
      <c r="E43" s="17">
        <f>IF(C43&lt;50,0,ROUNDDOWN(C43/50*5,0)/5)</f>
        <v/>
      </c>
      <c r="F43" s="16">
        <f>ROUNDUP(C43/50*Rules!$C$5,0)</f>
        <v/>
      </c>
      <c r="G43" s="16">
        <f>IF(Requests!E43="Group","Half-Credit","Fifth-Credit")</f>
        <v/>
      </c>
      <c r="H43" s="16">
        <f>IF(C43&lt;25,"Flag: &lt; 25 min – no credit",IF(C43&lt;50,"Flag: verify min duration","OK"))</f>
        <v/>
      </c>
    </row>
    <row r="44">
      <c r="A44" s="16">
        <f>Requests!A44</f>
        <v/>
      </c>
      <c r="B44" s="16">
        <f>Requests!B44</f>
        <v/>
      </c>
      <c r="C44" s="16">
        <f>Requests!F44</f>
        <v/>
      </c>
      <c r="D44" s="17">
        <f>IF(C44&lt;25,0,FLOOR(C44/50,Rules!$C$15))</f>
        <v/>
      </c>
      <c r="E44" s="17">
        <f>IF(C44&lt;50,0,ROUNDDOWN(C44/50*5,0)/5)</f>
        <v/>
      </c>
      <c r="F44" s="16">
        <f>ROUNDUP(C44/50*Rules!$C$5,0)</f>
        <v/>
      </c>
      <c r="G44" s="16">
        <f>IF(Requests!E44="Group","Half-Credit","Fifth-Credit")</f>
        <v/>
      </c>
      <c r="H44" s="16">
        <f>IF(C44&lt;25,"Flag: &lt; 25 min – no credit",IF(C44&lt;50,"Flag: verify min duration","OK"))</f>
        <v/>
      </c>
    </row>
    <row r="45">
      <c r="A45" s="16">
        <f>Requests!A45</f>
        <v/>
      </c>
      <c r="B45" s="16">
        <f>Requests!B45</f>
        <v/>
      </c>
      <c r="C45" s="16">
        <f>Requests!F45</f>
        <v/>
      </c>
      <c r="D45" s="17">
        <f>IF(C45&lt;25,0,FLOOR(C45/50,Rules!$C$15))</f>
        <v/>
      </c>
      <c r="E45" s="17">
        <f>IF(C45&lt;50,0,ROUNDDOWN(C45/50*5,0)/5)</f>
        <v/>
      </c>
      <c r="F45" s="16">
        <f>ROUNDUP(C45/50*Rules!$C$5,0)</f>
        <v/>
      </c>
      <c r="G45" s="16">
        <f>IF(Requests!E45="Group","Half-Credit","Fifth-Credit")</f>
        <v/>
      </c>
      <c r="H45" s="16">
        <f>IF(C45&lt;25,"Flag: &lt; 25 min – no credit",IF(C45&lt;50,"Flag: verify min duration","OK"))</f>
        <v/>
      </c>
    </row>
    <row r="46">
      <c r="A46" s="16">
        <f>Requests!A46</f>
        <v/>
      </c>
      <c r="B46" s="16">
        <f>Requests!B46</f>
        <v/>
      </c>
      <c r="C46" s="16">
        <f>Requests!F46</f>
        <v/>
      </c>
      <c r="D46" s="17">
        <f>IF(C46&lt;25,0,FLOOR(C46/50,Rules!$C$15))</f>
        <v/>
      </c>
      <c r="E46" s="17">
        <f>IF(C46&lt;50,0,ROUNDDOWN(C46/50*5,0)/5)</f>
        <v/>
      </c>
      <c r="F46" s="16">
        <f>ROUNDUP(C46/50*Rules!$C$5,0)</f>
        <v/>
      </c>
      <c r="G46" s="16">
        <f>IF(Requests!E46="Group","Half-Credit","Fifth-Credit")</f>
        <v/>
      </c>
      <c r="H46" s="16">
        <f>IF(C46&lt;25,"Flag: &lt; 25 min – no credit",IF(C46&lt;50,"Flag: verify min duration","OK"))</f>
        <v/>
      </c>
    </row>
    <row r="47">
      <c r="A47" s="16">
        <f>Requests!A47</f>
        <v/>
      </c>
      <c r="B47" s="16">
        <f>Requests!B47</f>
        <v/>
      </c>
      <c r="C47" s="16">
        <f>Requests!F47</f>
        <v/>
      </c>
      <c r="D47" s="17">
        <f>IF(C47&lt;25,0,FLOOR(C47/50,Rules!$C$15))</f>
        <v/>
      </c>
      <c r="E47" s="17">
        <f>IF(C47&lt;50,0,ROUNDDOWN(C47/50*5,0)/5)</f>
        <v/>
      </c>
      <c r="F47" s="16">
        <f>ROUNDUP(C47/50*Rules!$C$5,0)</f>
        <v/>
      </c>
      <c r="G47" s="16">
        <f>IF(Requests!E47="Group","Half-Credit","Fifth-Credit")</f>
        <v/>
      </c>
      <c r="H47" s="16">
        <f>IF(C47&lt;25,"Flag: &lt; 25 min – no credit",IF(C47&lt;50,"Flag: verify min duration","OK"))</f>
        <v/>
      </c>
    </row>
    <row r="48">
      <c r="A48" s="16">
        <f>Requests!A48</f>
        <v/>
      </c>
      <c r="B48" s="16">
        <f>Requests!B48</f>
        <v/>
      </c>
      <c r="C48" s="16">
        <f>Requests!F48</f>
        <v/>
      </c>
      <c r="D48" s="17">
        <f>IF(C48&lt;25,0,FLOOR(C48/50,Rules!$C$15))</f>
        <v/>
      </c>
      <c r="E48" s="17">
        <f>IF(C48&lt;50,0,ROUNDDOWN(C48/50*5,0)/5)</f>
        <v/>
      </c>
      <c r="F48" s="16">
        <f>ROUNDUP(C48/50*Rules!$C$5,0)</f>
        <v/>
      </c>
      <c r="G48" s="16">
        <f>IF(Requests!E48="Group","Half-Credit","Fifth-Credit")</f>
        <v/>
      </c>
      <c r="H48" s="16">
        <f>IF(C48&lt;25,"Flag: &lt; 25 min – no credit",IF(C48&lt;50,"Flag: verify min duration","OK"))</f>
        <v/>
      </c>
    </row>
    <row r="49">
      <c r="A49" s="16">
        <f>Requests!A49</f>
        <v/>
      </c>
      <c r="B49" s="16">
        <f>Requests!B49</f>
        <v/>
      </c>
      <c r="C49" s="16">
        <f>Requests!F49</f>
        <v/>
      </c>
      <c r="D49" s="17">
        <f>IF(C49&lt;25,0,FLOOR(C49/50,Rules!$C$15))</f>
        <v/>
      </c>
      <c r="E49" s="17">
        <f>IF(C49&lt;50,0,ROUNDDOWN(C49/50*5,0)/5)</f>
        <v/>
      </c>
      <c r="F49" s="16">
        <f>ROUNDUP(C49/50*Rules!$C$5,0)</f>
        <v/>
      </c>
      <c r="G49" s="16">
        <f>IF(Requests!E49="Group","Half-Credit","Fifth-Credit")</f>
        <v/>
      </c>
      <c r="H49" s="16">
        <f>IF(C49&lt;25,"Flag: &lt; 25 min – no credit",IF(C49&lt;50,"Flag: verify min duration","OK"))</f>
        <v/>
      </c>
    </row>
    <row r="50">
      <c r="A50" s="16">
        <f>Requests!A50</f>
        <v/>
      </c>
      <c r="B50" s="16">
        <f>Requests!B50</f>
        <v/>
      </c>
      <c r="C50" s="16">
        <f>Requests!F50</f>
        <v/>
      </c>
      <c r="D50" s="17">
        <f>IF(C50&lt;25,0,FLOOR(C50/50,Rules!$C$15))</f>
        <v/>
      </c>
      <c r="E50" s="17">
        <f>IF(C50&lt;50,0,ROUNDDOWN(C50/50*5,0)/5)</f>
        <v/>
      </c>
      <c r="F50" s="16">
        <f>ROUNDUP(C50/50*Rules!$C$5,0)</f>
        <v/>
      </c>
      <c r="G50" s="16">
        <f>IF(Requests!E50="Group","Half-Credit","Fifth-Credit")</f>
        <v/>
      </c>
      <c r="H50" s="16">
        <f>IF(C50&lt;25,"Flag: &lt; 25 min – no credit",IF(C50&lt;50,"Flag: verify min duration","OK"))</f>
        <v/>
      </c>
    </row>
    <row r="51">
      <c r="A51" s="16">
        <f>Requests!A51</f>
        <v/>
      </c>
      <c r="B51" s="16">
        <f>Requests!B51</f>
        <v/>
      </c>
      <c r="C51" s="16">
        <f>Requests!F51</f>
        <v/>
      </c>
      <c r="D51" s="17">
        <f>IF(C51&lt;25,0,FLOOR(C51/50,Rules!$C$15))</f>
        <v/>
      </c>
      <c r="E51" s="17">
        <f>IF(C51&lt;50,0,ROUNDDOWN(C51/50*5,0)/5)</f>
        <v/>
      </c>
      <c r="F51" s="16">
        <f>ROUNDUP(C51/50*Rules!$C$5,0)</f>
        <v/>
      </c>
      <c r="G51" s="16">
        <f>IF(Requests!E51="Group","Half-Credit","Fifth-Credit")</f>
        <v/>
      </c>
      <c r="H51" s="16">
        <f>IF(C51&lt;25,"Flag: &lt; 25 min – no credit",IF(C51&lt;50,"Flag: verify min duration","OK"))</f>
        <v/>
      </c>
    </row>
    <row r="52">
      <c r="A52" s="16">
        <f>Requests!A52</f>
        <v/>
      </c>
      <c r="B52" s="16">
        <f>Requests!B52</f>
        <v/>
      </c>
      <c r="C52" s="16">
        <f>Requests!F52</f>
        <v/>
      </c>
      <c r="D52" s="17">
        <f>IF(C52&lt;25,0,FLOOR(C52/50,Rules!$C$15))</f>
        <v/>
      </c>
      <c r="E52" s="17">
        <f>IF(C52&lt;50,0,ROUNDDOWN(C52/50*5,0)/5)</f>
        <v/>
      </c>
      <c r="F52" s="16">
        <f>ROUNDUP(C52/50*Rules!$C$5,0)</f>
        <v/>
      </c>
      <c r="G52" s="16">
        <f>IF(Requests!E52="Group","Half-Credit","Fifth-Credit")</f>
        <v/>
      </c>
      <c r="H52" s="16">
        <f>IF(C52&lt;25,"Flag: &lt; 25 min – no credit",IF(C52&lt;50,"Flag: verify min duration","OK"))</f>
        <v/>
      </c>
    </row>
    <row r="53">
      <c r="A53" s="16">
        <f>Requests!A53</f>
        <v/>
      </c>
      <c r="B53" s="16">
        <f>Requests!B53</f>
        <v/>
      </c>
      <c r="C53" s="16">
        <f>Requests!F53</f>
        <v/>
      </c>
      <c r="D53" s="17">
        <f>IF(C53&lt;25,0,FLOOR(C53/50,Rules!$C$15))</f>
        <v/>
      </c>
      <c r="E53" s="17">
        <f>IF(C53&lt;50,0,ROUNDDOWN(C53/50*5,0)/5)</f>
        <v/>
      </c>
      <c r="F53" s="16">
        <f>ROUNDUP(C53/50*Rules!$C$5,0)</f>
        <v/>
      </c>
      <c r="G53" s="16">
        <f>IF(Requests!E53="Group","Half-Credit","Fifth-Credit")</f>
        <v/>
      </c>
      <c r="H53" s="16">
        <f>IF(C53&lt;25,"Flag: &lt; 25 min – no credit",IF(C53&lt;50,"Flag: verify min duration","OK"))</f>
        <v/>
      </c>
    </row>
    <row r="54">
      <c r="A54" s="16">
        <f>Requests!A54</f>
        <v/>
      </c>
      <c r="B54" s="16">
        <f>Requests!B54</f>
        <v/>
      </c>
      <c r="C54" s="16">
        <f>Requests!F54</f>
        <v/>
      </c>
      <c r="D54" s="17">
        <f>IF(C54&lt;25,0,FLOOR(C54/50,Rules!$C$15))</f>
        <v/>
      </c>
      <c r="E54" s="17">
        <f>IF(C54&lt;50,0,ROUNDDOWN(C54/50*5,0)/5)</f>
        <v/>
      </c>
      <c r="F54" s="16">
        <f>ROUNDUP(C54/50*Rules!$C$5,0)</f>
        <v/>
      </c>
      <c r="G54" s="16">
        <f>IF(Requests!E54="Group","Half-Credit","Fifth-Credit")</f>
        <v/>
      </c>
      <c r="H54" s="16">
        <f>IF(C54&lt;25,"Flag: &lt; 25 min – no credit",IF(C54&lt;50,"Flag: verify min duration","OK"))</f>
        <v/>
      </c>
    </row>
    <row r="55">
      <c r="A55" s="16">
        <f>Requests!A55</f>
        <v/>
      </c>
      <c r="B55" s="16">
        <f>Requests!B55</f>
        <v/>
      </c>
      <c r="C55" s="16">
        <f>Requests!F55</f>
        <v/>
      </c>
      <c r="D55" s="17">
        <f>IF(C55&lt;25,0,FLOOR(C55/50,Rules!$C$15))</f>
        <v/>
      </c>
      <c r="E55" s="17">
        <f>IF(C55&lt;50,0,ROUNDDOWN(C55/50*5,0)/5)</f>
        <v/>
      </c>
      <c r="F55" s="16">
        <f>ROUNDUP(C55/50*Rules!$C$5,0)</f>
        <v/>
      </c>
      <c r="G55" s="16">
        <f>IF(Requests!E55="Group","Half-Credit","Fifth-Credit")</f>
        <v/>
      </c>
      <c r="H55" s="16">
        <f>IF(C55&lt;25,"Flag: &lt; 25 min – no credit",IF(C55&lt;50,"Flag: verify min duration","OK"))</f>
        <v/>
      </c>
    </row>
    <row r="56">
      <c r="A56" s="16">
        <f>Requests!A56</f>
        <v/>
      </c>
      <c r="B56" s="16">
        <f>Requests!B56</f>
        <v/>
      </c>
      <c r="C56" s="16">
        <f>Requests!F56</f>
        <v/>
      </c>
      <c r="D56" s="17">
        <f>IF(C56&lt;25,0,FLOOR(C56/50,Rules!$C$15))</f>
        <v/>
      </c>
      <c r="E56" s="17">
        <f>IF(C56&lt;50,0,ROUNDDOWN(C56/50*5,0)/5)</f>
        <v/>
      </c>
      <c r="F56" s="16">
        <f>ROUNDUP(C56/50*Rules!$C$5,0)</f>
        <v/>
      </c>
      <c r="G56" s="16">
        <f>IF(Requests!E56="Group","Half-Credit","Fifth-Credit")</f>
        <v/>
      </c>
      <c r="H56" s="16">
        <f>IF(C56&lt;25,"Flag: &lt; 25 min – no credit",IF(C56&lt;50,"Flag: verify min duration","OK"))</f>
        <v/>
      </c>
    </row>
    <row r="57">
      <c r="A57" s="16">
        <f>Requests!A57</f>
        <v/>
      </c>
      <c r="B57" s="16">
        <f>Requests!B57</f>
        <v/>
      </c>
      <c r="C57" s="16">
        <f>Requests!F57</f>
        <v/>
      </c>
      <c r="D57" s="17">
        <f>IF(C57&lt;25,0,FLOOR(C57/50,Rules!$C$15))</f>
        <v/>
      </c>
      <c r="E57" s="17">
        <f>IF(C57&lt;50,0,ROUNDDOWN(C57/50*5,0)/5)</f>
        <v/>
      </c>
      <c r="F57" s="16">
        <f>ROUNDUP(C57/50*Rules!$C$5,0)</f>
        <v/>
      </c>
      <c r="G57" s="16">
        <f>IF(Requests!E57="Group","Half-Credit","Fifth-Credit")</f>
        <v/>
      </c>
      <c r="H57" s="16">
        <f>IF(C57&lt;25,"Flag: &lt; 25 min – no credit",IF(C57&lt;50,"Flag: verify min duration","OK"))</f>
        <v/>
      </c>
    </row>
    <row r="58">
      <c r="A58" s="16">
        <f>Requests!A58</f>
        <v/>
      </c>
      <c r="B58" s="16">
        <f>Requests!B58</f>
        <v/>
      </c>
      <c r="C58" s="16">
        <f>Requests!F58</f>
        <v/>
      </c>
      <c r="D58" s="17">
        <f>IF(C58&lt;25,0,FLOOR(C58/50,Rules!$C$15))</f>
        <v/>
      </c>
      <c r="E58" s="17">
        <f>IF(C58&lt;50,0,ROUNDDOWN(C58/50*5,0)/5)</f>
        <v/>
      </c>
      <c r="F58" s="16">
        <f>ROUNDUP(C58/50*Rules!$C$5,0)</f>
        <v/>
      </c>
      <c r="G58" s="16">
        <f>IF(Requests!E58="Group","Half-Credit","Fifth-Credit")</f>
        <v/>
      </c>
      <c r="H58" s="16">
        <f>IF(C58&lt;25,"Flag: &lt; 25 min – no credit",IF(C58&lt;50,"Flag: verify min duration","OK"))</f>
        <v/>
      </c>
    </row>
    <row r="59">
      <c r="A59" s="16">
        <f>Requests!A59</f>
        <v/>
      </c>
      <c r="B59" s="16">
        <f>Requests!B59</f>
        <v/>
      </c>
      <c r="C59" s="16">
        <f>Requests!F59</f>
        <v/>
      </c>
      <c r="D59" s="17">
        <f>IF(C59&lt;25,0,FLOOR(C59/50,Rules!$C$15))</f>
        <v/>
      </c>
      <c r="E59" s="17">
        <f>IF(C59&lt;50,0,ROUNDDOWN(C59/50*5,0)/5)</f>
        <v/>
      </c>
      <c r="F59" s="16">
        <f>ROUNDUP(C59/50*Rules!$C$5,0)</f>
        <v/>
      </c>
      <c r="G59" s="16">
        <f>IF(Requests!E59="Group","Half-Credit","Fifth-Credit")</f>
        <v/>
      </c>
      <c r="H59" s="16">
        <f>IF(C59&lt;25,"Flag: &lt; 25 min – no credit",IF(C59&lt;50,"Flag: verify min duration","OK"))</f>
        <v/>
      </c>
    </row>
    <row r="60">
      <c r="A60" s="16">
        <f>Requests!A60</f>
        <v/>
      </c>
      <c r="B60" s="16">
        <f>Requests!B60</f>
        <v/>
      </c>
      <c r="C60" s="16">
        <f>Requests!F60</f>
        <v/>
      </c>
      <c r="D60" s="17">
        <f>IF(C60&lt;25,0,FLOOR(C60/50,Rules!$C$15))</f>
        <v/>
      </c>
      <c r="E60" s="17">
        <f>IF(C60&lt;50,0,ROUNDDOWN(C60/50*5,0)/5)</f>
        <v/>
      </c>
      <c r="F60" s="16">
        <f>ROUNDUP(C60/50*Rules!$C$5,0)</f>
        <v/>
      </c>
      <c r="G60" s="16">
        <f>IF(Requests!E60="Group","Half-Credit","Fifth-Credit")</f>
        <v/>
      </c>
      <c r="H60" s="16">
        <f>IF(C60&lt;25,"Flag: &lt; 25 min – no credit",IF(C60&lt;50,"Flag: verify min duration","OK"))</f>
        <v/>
      </c>
    </row>
    <row r="61">
      <c r="A61" s="16">
        <f>Requests!A61</f>
        <v/>
      </c>
      <c r="B61" s="16">
        <f>Requests!B61</f>
        <v/>
      </c>
      <c r="C61" s="16">
        <f>Requests!F61</f>
        <v/>
      </c>
      <c r="D61" s="17">
        <f>IF(C61&lt;25,0,FLOOR(C61/50,Rules!$C$15))</f>
        <v/>
      </c>
      <c r="E61" s="17">
        <f>IF(C61&lt;50,0,ROUNDDOWN(C61/50*5,0)/5)</f>
        <v/>
      </c>
      <c r="F61" s="16">
        <f>ROUNDUP(C61/50*Rules!$C$5,0)</f>
        <v/>
      </c>
      <c r="G61" s="16">
        <f>IF(Requests!E61="Group","Half-Credit","Fifth-Credit")</f>
        <v/>
      </c>
      <c r="H61" s="16">
        <f>IF(C61&lt;25,"Flag: &lt; 25 min – no credit",IF(C61&lt;50,"Flag: verify min duration","OK"))</f>
        <v/>
      </c>
    </row>
    <row r="62">
      <c r="A62" s="16">
        <f>Requests!A62</f>
        <v/>
      </c>
      <c r="B62" s="16">
        <f>Requests!B62</f>
        <v/>
      </c>
      <c r="C62" s="16">
        <f>Requests!F62</f>
        <v/>
      </c>
      <c r="D62" s="17">
        <f>IF(C62&lt;25,0,FLOOR(C62/50,Rules!$C$15))</f>
        <v/>
      </c>
      <c r="E62" s="17">
        <f>IF(C62&lt;50,0,ROUNDDOWN(C62/50*5,0)/5)</f>
        <v/>
      </c>
      <c r="F62" s="16">
        <f>ROUNDUP(C62/50*Rules!$C$5,0)</f>
        <v/>
      </c>
      <c r="G62" s="16">
        <f>IF(Requests!E62="Group","Half-Credit","Fifth-Credit")</f>
        <v/>
      </c>
      <c r="H62" s="16">
        <f>IF(C62&lt;25,"Flag: &lt; 25 min – no credit",IF(C62&lt;50,"Flag: verify min duration","OK"))</f>
        <v/>
      </c>
    </row>
    <row r="63">
      <c r="A63" s="16">
        <f>Requests!A63</f>
        <v/>
      </c>
      <c r="B63" s="16">
        <f>Requests!B63</f>
        <v/>
      </c>
      <c r="C63" s="16">
        <f>Requests!F63</f>
        <v/>
      </c>
      <c r="D63" s="17">
        <f>IF(C63&lt;25,0,FLOOR(C63/50,Rules!$C$15))</f>
        <v/>
      </c>
      <c r="E63" s="17">
        <f>IF(C63&lt;50,0,ROUNDDOWN(C63/50*5,0)/5)</f>
        <v/>
      </c>
      <c r="F63" s="16">
        <f>ROUNDUP(C63/50*Rules!$C$5,0)</f>
        <v/>
      </c>
      <c r="G63" s="16">
        <f>IF(Requests!E63="Group","Half-Credit","Fifth-Credit")</f>
        <v/>
      </c>
      <c r="H63" s="16">
        <f>IF(C63&lt;25,"Flag: &lt; 25 min – no credit",IF(C63&lt;50,"Flag: verify min duration","OK"))</f>
        <v/>
      </c>
    </row>
    <row r="64">
      <c r="A64" s="16">
        <f>Requests!A64</f>
        <v/>
      </c>
      <c r="B64" s="16">
        <f>Requests!B64</f>
        <v/>
      </c>
      <c r="C64" s="16">
        <f>Requests!F64</f>
        <v/>
      </c>
      <c r="D64" s="17">
        <f>IF(C64&lt;25,0,FLOOR(C64/50,Rules!$C$15))</f>
        <v/>
      </c>
      <c r="E64" s="17">
        <f>IF(C64&lt;50,0,ROUNDDOWN(C64/50*5,0)/5)</f>
        <v/>
      </c>
      <c r="F64" s="16">
        <f>ROUNDUP(C64/50*Rules!$C$5,0)</f>
        <v/>
      </c>
      <c r="G64" s="16">
        <f>IF(Requests!E64="Group","Half-Credit","Fifth-Credit")</f>
        <v/>
      </c>
      <c r="H64" s="16">
        <f>IF(C64&lt;25,"Flag: &lt; 25 min – no credit",IF(C64&lt;50,"Flag: verify min duration","OK"))</f>
        <v/>
      </c>
    </row>
    <row r="65">
      <c r="A65" s="16">
        <f>Requests!A65</f>
        <v/>
      </c>
      <c r="B65" s="16">
        <f>Requests!B65</f>
        <v/>
      </c>
      <c r="C65" s="16">
        <f>Requests!F65</f>
        <v/>
      </c>
      <c r="D65" s="17">
        <f>IF(C65&lt;25,0,FLOOR(C65/50,Rules!$C$15))</f>
        <v/>
      </c>
      <c r="E65" s="17">
        <f>IF(C65&lt;50,0,ROUNDDOWN(C65/50*5,0)/5)</f>
        <v/>
      </c>
      <c r="F65" s="16">
        <f>ROUNDUP(C65/50*Rules!$C$5,0)</f>
        <v/>
      </c>
      <c r="G65" s="16">
        <f>IF(Requests!E65="Group","Half-Credit","Fifth-Credit")</f>
        <v/>
      </c>
      <c r="H65" s="16">
        <f>IF(C65&lt;25,"Flag: &lt; 25 min – no credit",IF(C65&lt;50,"Flag: verify min duration","OK"))</f>
        <v/>
      </c>
    </row>
    <row r="66">
      <c r="A66" s="16">
        <f>Requests!A66</f>
        <v/>
      </c>
      <c r="B66" s="16">
        <f>Requests!B66</f>
        <v/>
      </c>
      <c r="C66" s="16">
        <f>Requests!F66</f>
        <v/>
      </c>
      <c r="D66" s="17">
        <f>IF(C66&lt;25,0,FLOOR(C66/50,Rules!$C$15))</f>
        <v/>
      </c>
      <c r="E66" s="17">
        <f>IF(C66&lt;50,0,ROUNDDOWN(C66/50*5,0)/5)</f>
        <v/>
      </c>
      <c r="F66" s="16">
        <f>ROUNDUP(C66/50*Rules!$C$5,0)</f>
        <v/>
      </c>
      <c r="G66" s="16">
        <f>IF(Requests!E66="Group","Half-Credit","Fifth-Credit")</f>
        <v/>
      </c>
      <c r="H66" s="16">
        <f>IF(C66&lt;25,"Flag: &lt; 25 min – no credit",IF(C66&lt;50,"Flag: verify min duration","OK"))</f>
        <v/>
      </c>
    </row>
    <row r="67">
      <c r="A67" s="16">
        <f>Requests!A67</f>
        <v/>
      </c>
      <c r="B67" s="16">
        <f>Requests!B67</f>
        <v/>
      </c>
      <c r="C67" s="16">
        <f>Requests!F67</f>
        <v/>
      </c>
      <c r="D67" s="17">
        <f>IF(C67&lt;25,0,FLOOR(C67/50,Rules!$C$15))</f>
        <v/>
      </c>
      <c r="E67" s="17">
        <f>IF(C67&lt;50,0,ROUNDDOWN(C67/50*5,0)/5)</f>
        <v/>
      </c>
      <c r="F67" s="16">
        <f>ROUNDUP(C67/50*Rules!$C$5,0)</f>
        <v/>
      </c>
      <c r="G67" s="16">
        <f>IF(Requests!E67="Group","Half-Credit","Fifth-Credit")</f>
        <v/>
      </c>
      <c r="H67" s="16">
        <f>IF(C67&lt;25,"Flag: &lt; 25 min – no credit",IF(C67&lt;50,"Flag: verify min duration","OK"))</f>
        <v/>
      </c>
    </row>
    <row r="68">
      <c r="A68" s="16">
        <f>Requests!A68</f>
        <v/>
      </c>
      <c r="B68" s="16">
        <f>Requests!B68</f>
        <v/>
      </c>
      <c r="C68" s="16">
        <f>Requests!F68</f>
        <v/>
      </c>
      <c r="D68" s="17">
        <f>IF(C68&lt;25,0,FLOOR(C68/50,Rules!$C$15))</f>
        <v/>
      </c>
      <c r="E68" s="17">
        <f>IF(C68&lt;50,0,ROUNDDOWN(C68/50*5,0)/5)</f>
        <v/>
      </c>
      <c r="F68" s="16">
        <f>ROUNDUP(C68/50*Rules!$C$5,0)</f>
        <v/>
      </c>
      <c r="G68" s="16">
        <f>IF(Requests!E68="Group","Half-Credit","Fifth-Credit")</f>
        <v/>
      </c>
      <c r="H68" s="16">
        <f>IF(C68&lt;25,"Flag: &lt; 25 min – no credit",IF(C68&lt;50,"Flag: verify min duration","OK"))</f>
        <v/>
      </c>
    </row>
    <row r="69">
      <c r="A69" s="16">
        <f>Requests!A69</f>
        <v/>
      </c>
      <c r="B69" s="16">
        <f>Requests!B69</f>
        <v/>
      </c>
      <c r="C69" s="16">
        <f>Requests!F69</f>
        <v/>
      </c>
      <c r="D69" s="17">
        <f>IF(C69&lt;25,0,FLOOR(C69/50,Rules!$C$15))</f>
        <v/>
      </c>
      <c r="E69" s="17">
        <f>IF(C69&lt;50,0,ROUNDDOWN(C69/50*5,0)/5)</f>
        <v/>
      </c>
      <c r="F69" s="16">
        <f>ROUNDUP(C69/50*Rules!$C$5,0)</f>
        <v/>
      </c>
      <c r="G69" s="16">
        <f>IF(Requests!E69="Group","Half-Credit","Fifth-Credit")</f>
        <v/>
      </c>
      <c r="H69" s="16">
        <f>IF(C69&lt;25,"Flag: &lt; 25 min – no credit",IF(C69&lt;50,"Flag: verify min duration","OK"))</f>
        <v/>
      </c>
    </row>
    <row r="70">
      <c r="A70" s="16">
        <f>Requests!A70</f>
        <v/>
      </c>
      <c r="B70" s="16">
        <f>Requests!B70</f>
        <v/>
      </c>
      <c r="C70" s="16">
        <f>Requests!F70</f>
        <v/>
      </c>
      <c r="D70" s="17">
        <f>IF(C70&lt;25,0,FLOOR(C70/50,Rules!$C$15))</f>
        <v/>
      </c>
      <c r="E70" s="17">
        <f>IF(C70&lt;50,0,ROUNDDOWN(C70/50*5,0)/5)</f>
        <v/>
      </c>
      <c r="F70" s="16">
        <f>ROUNDUP(C70/50*Rules!$C$5,0)</f>
        <v/>
      </c>
      <c r="G70" s="16">
        <f>IF(Requests!E70="Group","Half-Credit","Fifth-Credit")</f>
        <v/>
      </c>
      <c r="H70" s="16">
        <f>IF(C70&lt;25,"Flag: &lt; 25 min – no credit",IF(C70&lt;50,"Flag: verify min duration","OK"))</f>
        <v/>
      </c>
    </row>
    <row r="71">
      <c r="A71" s="16">
        <f>Requests!A71</f>
        <v/>
      </c>
      <c r="B71" s="16">
        <f>Requests!B71</f>
        <v/>
      </c>
      <c r="C71" s="16">
        <f>Requests!F71</f>
        <v/>
      </c>
      <c r="D71" s="17">
        <f>IF(C71&lt;25,0,FLOOR(C71/50,Rules!$C$15))</f>
        <v/>
      </c>
      <c r="E71" s="17">
        <f>IF(C71&lt;50,0,ROUNDDOWN(C71/50*5,0)/5)</f>
        <v/>
      </c>
      <c r="F71" s="16">
        <f>ROUNDUP(C71/50*Rules!$C$5,0)</f>
        <v/>
      </c>
      <c r="G71" s="16">
        <f>IF(Requests!E71="Group","Half-Credit","Fifth-Credit")</f>
        <v/>
      </c>
      <c r="H71" s="16">
        <f>IF(C71&lt;25,"Flag: &lt; 25 min – no credit",IF(C71&lt;50,"Flag: verify min duration","OK"))</f>
        <v/>
      </c>
    </row>
    <row r="72">
      <c r="A72" s="16">
        <f>Requests!A72</f>
        <v/>
      </c>
      <c r="B72" s="16">
        <f>Requests!B72</f>
        <v/>
      </c>
      <c r="C72" s="16">
        <f>Requests!F72</f>
        <v/>
      </c>
      <c r="D72" s="17">
        <f>IF(C72&lt;25,0,FLOOR(C72/50,Rules!$C$15))</f>
        <v/>
      </c>
      <c r="E72" s="17">
        <f>IF(C72&lt;50,0,ROUNDDOWN(C72/50*5,0)/5)</f>
        <v/>
      </c>
      <c r="F72" s="16">
        <f>ROUNDUP(C72/50*Rules!$C$5,0)</f>
        <v/>
      </c>
      <c r="G72" s="16">
        <f>IF(Requests!E72="Group","Half-Credit","Fifth-Credit")</f>
        <v/>
      </c>
      <c r="H72" s="16">
        <f>IF(C72&lt;25,"Flag: &lt; 25 min – no credit",IF(C72&lt;50,"Flag: verify min duration","OK"))</f>
        <v/>
      </c>
    </row>
    <row r="73">
      <c r="A73" s="16">
        <f>Requests!A73</f>
        <v/>
      </c>
      <c r="B73" s="16">
        <f>Requests!B73</f>
        <v/>
      </c>
      <c r="C73" s="16">
        <f>Requests!F73</f>
        <v/>
      </c>
      <c r="D73" s="17">
        <f>IF(C73&lt;25,0,FLOOR(C73/50,Rules!$C$15))</f>
        <v/>
      </c>
      <c r="E73" s="17">
        <f>IF(C73&lt;50,0,ROUNDDOWN(C73/50*5,0)/5)</f>
        <v/>
      </c>
      <c r="F73" s="16">
        <f>ROUNDUP(C73/50*Rules!$C$5,0)</f>
        <v/>
      </c>
      <c r="G73" s="16">
        <f>IF(Requests!E73="Group","Half-Credit","Fifth-Credit")</f>
        <v/>
      </c>
      <c r="H73" s="16">
        <f>IF(C73&lt;25,"Flag: &lt; 25 min – no credit",IF(C73&lt;50,"Flag: verify min duration","OK"))</f>
        <v/>
      </c>
    </row>
    <row r="74">
      <c r="A74" s="16">
        <f>Requests!A74</f>
        <v/>
      </c>
      <c r="B74" s="16">
        <f>Requests!B74</f>
        <v/>
      </c>
      <c r="C74" s="16">
        <f>Requests!F74</f>
        <v/>
      </c>
      <c r="D74" s="17">
        <f>IF(C74&lt;25,0,FLOOR(C74/50,Rules!$C$15))</f>
        <v/>
      </c>
      <c r="E74" s="17">
        <f>IF(C74&lt;50,0,ROUNDDOWN(C74/50*5,0)/5)</f>
        <v/>
      </c>
      <c r="F74" s="16">
        <f>ROUNDUP(C74/50*Rules!$C$5,0)</f>
        <v/>
      </c>
      <c r="G74" s="16">
        <f>IF(Requests!E74="Group","Half-Credit","Fifth-Credit")</f>
        <v/>
      </c>
      <c r="H74" s="16">
        <f>IF(C74&lt;25,"Flag: &lt; 25 min – no credit",IF(C74&lt;50,"Flag: verify min duration","OK"))</f>
        <v/>
      </c>
    </row>
    <row r="75">
      <c r="A75" s="16">
        <f>Requests!A75</f>
        <v/>
      </c>
      <c r="B75" s="16">
        <f>Requests!B75</f>
        <v/>
      </c>
      <c r="C75" s="16">
        <f>Requests!F75</f>
        <v/>
      </c>
      <c r="D75" s="17">
        <f>IF(C75&lt;25,0,FLOOR(C75/50,Rules!$C$15))</f>
        <v/>
      </c>
      <c r="E75" s="17">
        <f>IF(C75&lt;50,0,ROUNDDOWN(C75/50*5,0)/5)</f>
        <v/>
      </c>
      <c r="F75" s="16">
        <f>ROUNDUP(C75/50*Rules!$C$5,0)</f>
        <v/>
      </c>
      <c r="G75" s="16">
        <f>IF(Requests!E75="Group","Half-Credit","Fifth-Credit")</f>
        <v/>
      </c>
      <c r="H75" s="16">
        <f>IF(C75&lt;25,"Flag: &lt; 25 min – no credit",IF(C75&lt;50,"Flag: verify min duration","OK"))</f>
        <v/>
      </c>
    </row>
    <row r="76">
      <c r="A76" s="16">
        <f>Requests!A76</f>
        <v/>
      </c>
      <c r="B76" s="16">
        <f>Requests!B76</f>
        <v/>
      </c>
      <c r="C76" s="16">
        <f>Requests!F76</f>
        <v/>
      </c>
      <c r="D76" s="17">
        <f>IF(C76&lt;25,0,FLOOR(C76/50,Rules!$C$15))</f>
        <v/>
      </c>
      <c r="E76" s="17">
        <f>IF(C76&lt;50,0,ROUNDDOWN(C76/50*5,0)/5)</f>
        <v/>
      </c>
      <c r="F76" s="16">
        <f>ROUNDUP(C76/50*Rules!$C$5,0)</f>
        <v/>
      </c>
      <c r="G76" s="16">
        <f>IF(Requests!E76="Group","Half-Credit","Fifth-Credit")</f>
        <v/>
      </c>
      <c r="H76" s="16">
        <f>IF(C76&lt;25,"Flag: &lt; 25 min – no credit",IF(C76&lt;50,"Flag: verify min duration","OK"))</f>
        <v/>
      </c>
    </row>
    <row r="77">
      <c r="A77" s="16">
        <f>Requests!A77</f>
        <v/>
      </c>
      <c r="B77" s="16">
        <f>Requests!B77</f>
        <v/>
      </c>
      <c r="C77" s="16">
        <f>Requests!F77</f>
        <v/>
      </c>
      <c r="D77" s="17">
        <f>IF(C77&lt;25,0,FLOOR(C77/50,Rules!$C$15))</f>
        <v/>
      </c>
      <c r="E77" s="17">
        <f>IF(C77&lt;50,0,ROUNDDOWN(C77/50*5,0)/5)</f>
        <v/>
      </c>
      <c r="F77" s="16">
        <f>ROUNDUP(C77/50*Rules!$C$5,0)</f>
        <v/>
      </c>
      <c r="G77" s="16">
        <f>IF(Requests!E77="Group","Half-Credit","Fifth-Credit")</f>
        <v/>
      </c>
      <c r="H77" s="16">
        <f>IF(C77&lt;25,"Flag: &lt; 25 min – no credit",IF(C77&lt;50,"Flag: verify min duration","OK"))</f>
        <v/>
      </c>
    </row>
    <row r="78">
      <c r="A78" s="16">
        <f>Requests!A78</f>
        <v/>
      </c>
      <c r="B78" s="16">
        <f>Requests!B78</f>
        <v/>
      </c>
      <c r="C78" s="16">
        <f>Requests!F78</f>
        <v/>
      </c>
      <c r="D78" s="17">
        <f>IF(C78&lt;25,0,FLOOR(C78/50,Rules!$C$15))</f>
        <v/>
      </c>
      <c r="E78" s="17">
        <f>IF(C78&lt;50,0,ROUNDDOWN(C78/50*5,0)/5)</f>
        <v/>
      </c>
      <c r="F78" s="16">
        <f>ROUNDUP(C78/50*Rules!$C$5,0)</f>
        <v/>
      </c>
      <c r="G78" s="16">
        <f>IF(Requests!E78="Group","Half-Credit","Fifth-Credit")</f>
        <v/>
      </c>
      <c r="H78" s="16">
        <f>IF(C78&lt;25,"Flag: &lt; 25 min – no credit",IF(C78&lt;50,"Flag: verify min duration","OK"))</f>
        <v/>
      </c>
    </row>
    <row r="79">
      <c r="A79" s="16">
        <f>Requests!A79</f>
        <v/>
      </c>
      <c r="B79" s="16">
        <f>Requests!B79</f>
        <v/>
      </c>
      <c r="C79" s="16">
        <f>Requests!F79</f>
        <v/>
      </c>
      <c r="D79" s="17">
        <f>IF(C79&lt;25,0,FLOOR(C79/50,Rules!$C$15))</f>
        <v/>
      </c>
      <c r="E79" s="17">
        <f>IF(C79&lt;50,0,ROUNDDOWN(C79/50*5,0)/5)</f>
        <v/>
      </c>
      <c r="F79" s="16">
        <f>ROUNDUP(C79/50*Rules!$C$5,0)</f>
        <v/>
      </c>
      <c r="G79" s="16">
        <f>IF(Requests!E79="Group","Half-Credit","Fifth-Credit")</f>
        <v/>
      </c>
      <c r="H79" s="16">
        <f>IF(C79&lt;25,"Flag: &lt; 25 min – no credit",IF(C79&lt;50,"Flag: verify min duration","OK"))</f>
        <v/>
      </c>
    </row>
    <row r="80">
      <c r="A80" s="16">
        <f>Requests!A80</f>
        <v/>
      </c>
      <c r="B80" s="16">
        <f>Requests!B80</f>
        <v/>
      </c>
      <c r="C80" s="16">
        <f>Requests!F80</f>
        <v/>
      </c>
      <c r="D80" s="17">
        <f>IF(C80&lt;25,0,FLOOR(C80/50,Rules!$C$15))</f>
        <v/>
      </c>
      <c r="E80" s="17">
        <f>IF(C80&lt;50,0,ROUNDDOWN(C80/50*5,0)/5)</f>
        <v/>
      </c>
      <c r="F80" s="16">
        <f>ROUNDUP(C80/50*Rules!$C$5,0)</f>
        <v/>
      </c>
      <c r="G80" s="16">
        <f>IF(Requests!E80="Group","Half-Credit","Fifth-Credit")</f>
        <v/>
      </c>
      <c r="H80" s="16">
        <f>IF(C80&lt;25,"Flag: &lt; 25 min – no credit",IF(C80&lt;50,"Flag: verify min duration","OK"))</f>
        <v/>
      </c>
    </row>
    <row r="81">
      <c r="A81" s="16">
        <f>Requests!A81</f>
        <v/>
      </c>
      <c r="B81" s="16">
        <f>Requests!B81</f>
        <v/>
      </c>
      <c r="C81" s="16">
        <f>Requests!F81</f>
        <v/>
      </c>
      <c r="D81" s="17">
        <f>IF(C81&lt;25,0,FLOOR(C81/50,Rules!$C$15))</f>
        <v/>
      </c>
      <c r="E81" s="17">
        <f>IF(C81&lt;50,0,ROUNDDOWN(C81/50*5,0)/5)</f>
        <v/>
      </c>
      <c r="F81" s="16">
        <f>ROUNDUP(C81/50*Rules!$C$5,0)</f>
        <v/>
      </c>
      <c r="G81" s="16">
        <f>IF(Requests!E81="Group","Half-Credit","Fifth-Credit")</f>
        <v/>
      </c>
      <c r="H81" s="16">
        <f>IF(C81&lt;25,"Flag: &lt; 25 min – no credit",IF(C81&lt;50,"Flag: verify min duration","OK"))</f>
        <v/>
      </c>
    </row>
    <row r="82">
      <c r="A82" s="16">
        <f>Requests!A82</f>
        <v/>
      </c>
      <c r="B82" s="16">
        <f>Requests!B82</f>
        <v/>
      </c>
      <c r="C82" s="16">
        <f>Requests!F82</f>
        <v/>
      </c>
      <c r="D82" s="17">
        <f>IF(C82&lt;25,0,FLOOR(C82/50,Rules!$C$15))</f>
        <v/>
      </c>
      <c r="E82" s="17">
        <f>IF(C82&lt;50,0,ROUNDDOWN(C82/50*5,0)/5)</f>
        <v/>
      </c>
      <c r="F82" s="16">
        <f>ROUNDUP(C82/50*Rules!$C$5,0)</f>
        <v/>
      </c>
      <c r="G82" s="16">
        <f>IF(Requests!E82="Group","Half-Credit","Fifth-Credit")</f>
        <v/>
      </c>
      <c r="H82" s="16">
        <f>IF(C82&lt;25,"Flag: &lt; 25 min – no credit",IF(C82&lt;50,"Flag: verify min duration","OK"))</f>
        <v/>
      </c>
    </row>
    <row r="83">
      <c r="A83" s="16">
        <f>Requests!A83</f>
        <v/>
      </c>
      <c r="B83" s="16">
        <f>Requests!B83</f>
        <v/>
      </c>
      <c r="C83" s="16">
        <f>Requests!F83</f>
        <v/>
      </c>
      <c r="D83" s="17">
        <f>IF(C83&lt;25,0,FLOOR(C83/50,Rules!$C$15))</f>
        <v/>
      </c>
      <c r="E83" s="17">
        <f>IF(C83&lt;50,0,ROUNDDOWN(C83/50*5,0)/5)</f>
        <v/>
      </c>
      <c r="F83" s="16">
        <f>ROUNDUP(C83/50*Rules!$C$5,0)</f>
        <v/>
      </c>
      <c r="G83" s="16">
        <f>IF(Requests!E83="Group","Half-Credit","Fifth-Credit")</f>
        <v/>
      </c>
      <c r="H83" s="16">
        <f>IF(C83&lt;25,"Flag: &lt; 25 min – no credit",IF(C83&lt;50,"Flag: verify min duration","OK"))</f>
        <v/>
      </c>
    </row>
    <row r="84">
      <c r="A84" s="16">
        <f>Requests!A84</f>
        <v/>
      </c>
      <c r="B84" s="16">
        <f>Requests!B84</f>
        <v/>
      </c>
      <c r="C84" s="16">
        <f>Requests!F84</f>
        <v/>
      </c>
      <c r="D84" s="17">
        <f>IF(C84&lt;25,0,FLOOR(C84/50,Rules!$C$15))</f>
        <v/>
      </c>
      <c r="E84" s="17">
        <f>IF(C84&lt;50,0,ROUNDDOWN(C84/50*5,0)/5)</f>
        <v/>
      </c>
      <c r="F84" s="16">
        <f>ROUNDUP(C84/50*Rules!$C$5,0)</f>
        <v/>
      </c>
      <c r="G84" s="16">
        <f>IF(Requests!E84="Group","Half-Credit","Fifth-Credit")</f>
        <v/>
      </c>
      <c r="H84" s="16">
        <f>IF(C84&lt;25,"Flag: &lt; 25 min – no credit",IF(C84&lt;50,"Flag: verify min duration","OK"))</f>
        <v/>
      </c>
    </row>
    <row r="85">
      <c r="A85" s="16">
        <f>Requests!A85</f>
        <v/>
      </c>
      <c r="B85" s="16">
        <f>Requests!B85</f>
        <v/>
      </c>
      <c r="C85" s="16">
        <f>Requests!F85</f>
        <v/>
      </c>
      <c r="D85" s="17">
        <f>IF(C85&lt;25,0,FLOOR(C85/50,Rules!$C$15))</f>
        <v/>
      </c>
      <c r="E85" s="17">
        <f>IF(C85&lt;50,0,ROUNDDOWN(C85/50*5,0)/5)</f>
        <v/>
      </c>
      <c r="F85" s="16">
        <f>ROUNDUP(C85/50*Rules!$C$5,0)</f>
        <v/>
      </c>
      <c r="G85" s="16">
        <f>IF(Requests!E85="Group","Half-Credit","Fifth-Credit")</f>
        <v/>
      </c>
      <c r="H85" s="16">
        <f>IF(C85&lt;25,"Flag: &lt; 25 min – no credit",IF(C85&lt;50,"Flag: verify min duration","OK"))</f>
        <v/>
      </c>
    </row>
    <row r="86">
      <c r="A86" s="16">
        <f>Requests!A86</f>
        <v/>
      </c>
      <c r="B86" s="16">
        <f>Requests!B86</f>
        <v/>
      </c>
      <c r="C86" s="16">
        <f>Requests!F86</f>
        <v/>
      </c>
      <c r="D86" s="17">
        <f>IF(C86&lt;25,0,FLOOR(C86/50,Rules!$C$15))</f>
        <v/>
      </c>
      <c r="E86" s="17">
        <f>IF(C86&lt;50,0,ROUNDDOWN(C86/50*5,0)/5)</f>
        <v/>
      </c>
      <c r="F86" s="16">
        <f>ROUNDUP(C86/50*Rules!$C$5,0)</f>
        <v/>
      </c>
      <c r="G86" s="16">
        <f>IF(Requests!E86="Group","Half-Credit","Fifth-Credit")</f>
        <v/>
      </c>
      <c r="H86" s="16">
        <f>IF(C86&lt;25,"Flag: &lt; 25 min – no credit",IF(C86&lt;50,"Flag: verify min duration","OK"))</f>
        <v/>
      </c>
    </row>
    <row r="87">
      <c r="A87" s="16">
        <f>Requests!A87</f>
        <v/>
      </c>
      <c r="B87" s="16">
        <f>Requests!B87</f>
        <v/>
      </c>
      <c r="C87" s="16">
        <f>Requests!F87</f>
        <v/>
      </c>
      <c r="D87" s="17">
        <f>IF(C87&lt;25,0,FLOOR(C87/50,Rules!$C$15))</f>
        <v/>
      </c>
      <c r="E87" s="17">
        <f>IF(C87&lt;50,0,ROUNDDOWN(C87/50*5,0)/5)</f>
        <v/>
      </c>
      <c r="F87" s="16">
        <f>ROUNDUP(C87/50*Rules!$C$5,0)</f>
        <v/>
      </c>
      <c r="G87" s="16">
        <f>IF(Requests!E87="Group","Half-Credit","Fifth-Credit")</f>
        <v/>
      </c>
      <c r="H87" s="16">
        <f>IF(C87&lt;25,"Flag: &lt; 25 min – no credit",IF(C87&lt;50,"Flag: verify min duration","OK"))</f>
        <v/>
      </c>
    </row>
    <row r="88">
      <c r="A88" s="16">
        <f>Requests!A88</f>
        <v/>
      </c>
      <c r="B88" s="16">
        <f>Requests!B88</f>
        <v/>
      </c>
      <c r="C88" s="16">
        <f>Requests!F88</f>
        <v/>
      </c>
      <c r="D88" s="17">
        <f>IF(C88&lt;25,0,FLOOR(C88/50,Rules!$C$15))</f>
        <v/>
      </c>
      <c r="E88" s="17">
        <f>IF(C88&lt;50,0,ROUNDDOWN(C88/50*5,0)/5)</f>
        <v/>
      </c>
      <c r="F88" s="16">
        <f>ROUNDUP(C88/50*Rules!$C$5,0)</f>
        <v/>
      </c>
      <c r="G88" s="16">
        <f>IF(Requests!E88="Group","Half-Credit","Fifth-Credit")</f>
        <v/>
      </c>
      <c r="H88" s="16">
        <f>IF(C88&lt;25,"Flag: &lt; 25 min – no credit",IF(C88&lt;50,"Flag: verify min duration","OK"))</f>
        <v/>
      </c>
    </row>
    <row r="89">
      <c r="A89" s="16">
        <f>Requests!A89</f>
        <v/>
      </c>
      <c r="B89" s="16">
        <f>Requests!B89</f>
        <v/>
      </c>
      <c r="C89" s="16">
        <f>Requests!F89</f>
        <v/>
      </c>
      <c r="D89" s="17">
        <f>IF(C89&lt;25,0,FLOOR(C89/50,Rules!$C$15))</f>
        <v/>
      </c>
      <c r="E89" s="17">
        <f>IF(C89&lt;50,0,ROUNDDOWN(C89/50*5,0)/5)</f>
        <v/>
      </c>
      <c r="F89" s="16">
        <f>ROUNDUP(C89/50*Rules!$C$5,0)</f>
        <v/>
      </c>
      <c r="G89" s="16">
        <f>IF(Requests!E89="Group","Half-Credit","Fifth-Credit")</f>
        <v/>
      </c>
      <c r="H89" s="16">
        <f>IF(C89&lt;25,"Flag: &lt; 25 min – no credit",IF(C89&lt;50,"Flag: verify min duration","OK"))</f>
        <v/>
      </c>
    </row>
    <row r="90">
      <c r="A90" s="16">
        <f>Requests!A90</f>
        <v/>
      </c>
      <c r="B90" s="16">
        <f>Requests!B90</f>
        <v/>
      </c>
      <c r="C90" s="16">
        <f>Requests!F90</f>
        <v/>
      </c>
      <c r="D90" s="17">
        <f>IF(C90&lt;25,0,FLOOR(C90/50,Rules!$C$15))</f>
        <v/>
      </c>
      <c r="E90" s="17">
        <f>IF(C90&lt;50,0,ROUNDDOWN(C90/50*5,0)/5)</f>
        <v/>
      </c>
      <c r="F90" s="16">
        <f>ROUNDUP(C90/50*Rules!$C$5,0)</f>
        <v/>
      </c>
      <c r="G90" s="16">
        <f>IF(Requests!E90="Group","Half-Credit","Fifth-Credit")</f>
        <v/>
      </c>
      <c r="H90" s="16">
        <f>IF(C90&lt;25,"Flag: &lt; 25 min – no credit",IF(C90&lt;50,"Flag: verify min duration","OK"))</f>
        <v/>
      </c>
    </row>
    <row r="91">
      <c r="A91" s="16">
        <f>Requests!A91</f>
        <v/>
      </c>
      <c r="B91" s="16">
        <f>Requests!B91</f>
        <v/>
      </c>
      <c r="C91" s="16">
        <f>Requests!F91</f>
        <v/>
      </c>
      <c r="D91" s="17">
        <f>IF(C91&lt;25,0,FLOOR(C91/50,Rules!$C$15))</f>
        <v/>
      </c>
      <c r="E91" s="17">
        <f>IF(C91&lt;50,0,ROUNDDOWN(C91/50*5,0)/5)</f>
        <v/>
      </c>
      <c r="F91" s="16">
        <f>ROUNDUP(C91/50*Rules!$C$5,0)</f>
        <v/>
      </c>
      <c r="G91" s="16">
        <f>IF(Requests!E91="Group","Half-Credit","Fifth-Credit")</f>
        <v/>
      </c>
      <c r="H91" s="16">
        <f>IF(C91&lt;25,"Flag: &lt; 25 min – no credit",IF(C91&lt;50,"Flag: verify min duration","OK"))</f>
        <v/>
      </c>
    </row>
    <row r="92">
      <c r="A92" s="16">
        <f>Requests!A92</f>
        <v/>
      </c>
      <c r="B92" s="16">
        <f>Requests!B92</f>
        <v/>
      </c>
      <c r="C92" s="16">
        <f>Requests!F92</f>
        <v/>
      </c>
      <c r="D92" s="17">
        <f>IF(C92&lt;25,0,FLOOR(C92/50,Rules!$C$15))</f>
        <v/>
      </c>
      <c r="E92" s="17">
        <f>IF(C92&lt;50,0,ROUNDDOWN(C92/50*5,0)/5)</f>
        <v/>
      </c>
      <c r="F92" s="16">
        <f>ROUNDUP(C92/50*Rules!$C$5,0)</f>
        <v/>
      </c>
      <c r="G92" s="16">
        <f>IF(Requests!E92="Group","Half-Credit","Fifth-Credit")</f>
        <v/>
      </c>
      <c r="H92" s="16">
        <f>IF(C92&lt;25,"Flag: &lt; 25 min – no credit",IF(C92&lt;50,"Flag: verify min duration","OK"))</f>
        <v/>
      </c>
    </row>
    <row r="93">
      <c r="A93" s="16">
        <f>Requests!A93</f>
        <v/>
      </c>
      <c r="B93" s="16">
        <f>Requests!B93</f>
        <v/>
      </c>
      <c r="C93" s="16">
        <f>Requests!F93</f>
        <v/>
      </c>
      <c r="D93" s="17">
        <f>IF(C93&lt;25,0,FLOOR(C93/50,Rules!$C$15))</f>
        <v/>
      </c>
      <c r="E93" s="17">
        <f>IF(C93&lt;50,0,ROUNDDOWN(C93/50*5,0)/5)</f>
        <v/>
      </c>
      <c r="F93" s="16">
        <f>ROUNDUP(C93/50*Rules!$C$5,0)</f>
        <v/>
      </c>
      <c r="G93" s="16">
        <f>IF(Requests!E93="Group","Half-Credit","Fifth-Credit")</f>
        <v/>
      </c>
      <c r="H93" s="16">
        <f>IF(C93&lt;25,"Flag: &lt; 25 min – no credit",IF(C93&lt;50,"Flag: verify min duration","OK"))</f>
        <v/>
      </c>
    </row>
    <row r="94">
      <c r="A94" s="16">
        <f>Requests!A94</f>
        <v/>
      </c>
      <c r="B94" s="16">
        <f>Requests!B94</f>
        <v/>
      </c>
      <c r="C94" s="16">
        <f>Requests!F94</f>
        <v/>
      </c>
      <c r="D94" s="17">
        <f>IF(C94&lt;25,0,FLOOR(C94/50,Rules!$C$15))</f>
        <v/>
      </c>
      <c r="E94" s="17">
        <f>IF(C94&lt;50,0,ROUNDDOWN(C94/50*5,0)/5)</f>
        <v/>
      </c>
      <c r="F94" s="16">
        <f>ROUNDUP(C94/50*Rules!$C$5,0)</f>
        <v/>
      </c>
      <c r="G94" s="16">
        <f>IF(Requests!E94="Group","Half-Credit","Fifth-Credit")</f>
        <v/>
      </c>
      <c r="H94" s="16">
        <f>IF(C94&lt;25,"Flag: &lt; 25 min – no credit",IF(C94&lt;50,"Flag: verify min duration","OK"))</f>
        <v/>
      </c>
    </row>
    <row r="95">
      <c r="A95" s="16">
        <f>Requests!A95</f>
        <v/>
      </c>
      <c r="B95" s="16">
        <f>Requests!B95</f>
        <v/>
      </c>
      <c r="C95" s="16">
        <f>Requests!F95</f>
        <v/>
      </c>
      <c r="D95" s="17">
        <f>IF(C95&lt;25,0,FLOOR(C95/50,Rules!$C$15))</f>
        <v/>
      </c>
      <c r="E95" s="17">
        <f>IF(C95&lt;50,0,ROUNDDOWN(C95/50*5,0)/5)</f>
        <v/>
      </c>
      <c r="F95" s="16">
        <f>ROUNDUP(C95/50*Rules!$C$5,0)</f>
        <v/>
      </c>
      <c r="G95" s="16">
        <f>IF(Requests!E95="Group","Half-Credit","Fifth-Credit")</f>
        <v/>
      </c>
      <c r="H95" s="16">
        <f>IF(C95&lt;25,"Flag: &lt; 25 min – no credit",IF(C95&lt;50,"Flag: verify min duration","OK"))</f>
        <v/>
      </c>
    </row>
    <row r="96">
      <c r="A96" s="16">
        <f>Requests!A96</f>
        <v/>
      </c>
      <c r="B96" s="16">
        <f>Requests!B96</f>
        <v/>
      </c>
      <c r="C96" s="16">
        <f>Requests!F96</f>
        <v/>
      </c>
      <c r="D96" s="17">
        <f>IF(C96&lt;25,0,FLOOR(C96/50,Rules!$C$15))</f>
        <v/>
      </c>
      <c r="E96" s="17">
        <f>IF(C96&lt;50,0,ROUNDDOWN(C96/50*5,0)/5)</f>
        <v/>
      </c>
      <c r="F96" s="16">
        <f>ROUNDUP(C96/50*Rules!$C$5,0)</f>
        <v/>
      </c>
      <c r="G96" s="16">
        <f>IF(Requests!E96="Group","Half-Credit","Fifth-Credit")</f>
        <v/>
      </c>
      <c r="H96" s="16">
        <f>IF(C96&lt;25,"Flag: &lt; 25 min – no credit",IF(C96&lt;50,"Flag: verify min duration","OK"))</f>
        <v/>
      </c>
    </row>
    <row r="97">
      <c r="A97" s="16">
        <f>Requests!A97</f>
        <v/>
      </c>
      <c r="B97" s="16">
        <f>Requests!B97</f>
        <v/>
      </c>
      <c r="C97" s="16">
        <f>Requests!F97</f>
        <v/>
      </c>
      <c r="D97" s="17">
        <f>IF(C97&lt;25,0,FLOOR(C97/50,Rules!$C$15))</f>
        <v/>
      </c>
      <c r="E97" s="17">
        <f>IF(C97&lt;50,0,ROUNDDOWN(C97/50*5,0)/5)</f>
        <v/>
      </c>
      <c r="F97" s="16">
        <f>ROUNDUP(C97/50*Rules!$C$5,0)</f>
        <v/>
      </c>
      <c r="G97" s="16">
        <f>IF(Requests!E97="Group","Half-Credit","Fifth-Credit")</f>
        <v/>
      </c>
      <c r="H97" s="16">
        <f>IF(C97&lt;25,"Flag: &lt; 25 min – no credit",IF(C97&lt;50,"Flag: verify min duration","OK"))</f>
        <v/>
      </c>
    </row>
    <row r="98">
      <c r="A98" s="16">
        <f>Requests!A98</f>
        <v/>
      </c>
      <c r="B98" s="16">
        <f>Requests!B98</f>
        <v/>
      </c>
      <c r="C98" s="16">
        <f>Requests!F98</f>
        <v/>
      </c>
      <c r="D98" s="17">
        <f>IF(C98&lt;25,0,FLOOR(C98/50,Rules!$C$15))</f>
        <v/>
      </c>
      <c r="E98" s="17">
        <f>IF(C98&lt;50,0,ROUNDDOWN(C98/50*5,0)/5)</f>
        <v/>
      </c>
      <c r="F98" s="16">
        <f>ROUNDUP(C98/50*Rules!$C$5,0)</f>
        <v/>
      </c>
      <c r="G98" s="16">
        <f>IF(Requests!E98="Group","Half-Credit","Fifth-Credit")</f>
        <v/>
      </c>
      <c r="H98" s="16">
        <f>IF(C98&lt;25,"Flag: &lt; 25 min – no credit",IF(C98&lt;50,"Flag: verify min duration","OK"))</f>
        <v/>
      </c>
    </row>
    <row r="99">
      <c r="A99" s="16">
        <f>Requests!A99</f>
        <v/>
      </c>
      <c r="B99" s="16">
        <f>Requests!B99</f>
        <v/>
      </c>
      <c r="C99" s="16">
        <f>Requests!F99</f>
        <v/>
      </c>
      <c r="D99" s="17">
        <f>IF(C99&lt;25,0,FLOOR(C99/50,Rules!$C$15))</f>
        <v/>
      </c>
      <c r="E99" s="17">
        <f>IF(C99&lt;50,0,ROUNDDOWN(C99/50*5,0)/5)</f>
        <v/>
      </c>
      <c r="F99" s="16">
        <f>ROUNDUP(C99/50*Rules!$C$5,0)</f>
        <v/>
      </c>
      <c r="G99" s="16">
        <f>IF(Requests!E99="Group","Half-Credit","Fifth-Credit")</f>
        <v/>
      </c>
      <c r="H99" s="16">
        <f>IF(C99&lt;25,"Flag: &lt; 25 min – no credit",IF(C99&lt;50,"Flag: verify min duration","OK"))</f>
        <v/>
      </c>
    </row>
    <row r="100">
      <c r="A100" s="16">
        <f>Requests!A100</f>
        <v/>
      </c>
      <c r="B100" s="16">
        <f>Requests!B100</f>
        <v/>
      </c>
      <c r="C100" s="16">
        <f>Requests!F100</f>
        <v/>
      </c>
      <c r="D100" s="17">
        <f>IF(C100&lt;25,0,FLOOR(C100/50,Rules!$C$15))</f>
        <v/>
      </c>
      <c r="E100" s="17">
        <f>IF(C100&lt;50,0,ROUNDDOWN(C100/50*5,0)/5)</f>
        <v/>
      </c>
      <c r="F100" s="16">
        <f>ROUNDUP(C100/50*Rules!$C$5,0)</f>
        <v/>
      </c>
      <c r="G100" s="16">
        <f>IF(Requests!E100="Group","Half-Credit","Fifth-Credit")</f>
        <v/>
      </c>
      <c r="H100" s="16">
        <f>IF(C100&lt;25,"Flag: &lt; 25 min – no credit",IF(C100&lt;50,"Flag: verify min duration","OK"))</f>
        <v/>
      </c>
    </row>
    <row r="101">
      <c r="A101" s="16">
        <f>Requests!A101</f>
        <v/>
      </c>
      <c r="B101" s="16">
        <f>Requests!B101</f>
        <v/>
      </c>
      <c r="C101" s="16">
        <f>Requests!F101</f>
        <v/>
      </c>
      <c r="D101" s="17">
        <f>IF(C101&lt;25,0,FLOOR(C101/50,Rules!$C$15))</f>
        <v/>
      </c>
      <c r="E101" s="17">
        <f>IF(C101&lt;50,0,ROUNDDOWN(C101/50*5,0)/5)</f>
        <v/>
      </c>
      <c r="F101" s="16">
        <f>ROUNDUP(C101/50*Rules!$C$5,0)</f>
        <v/>
      </c>
      <c r="G101" s="16">
        <f>IF(Requests!E101="Group","Half-Credit","Fifth-Credit")</f>
        <v/>
      </c>
      <c r="H101" s="16">
        <f>IF(C101&lt;25,"Flag: &lt; 25 min – no credit",IF(C101&lt;50,"Flag: verify min duration","OK"))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18" customWidth="1" min="7" max="7"/>
    <col width="40" customWidth="1" min="8" max="8"/>
    <col width="18" customWidth="1" min="9" max="9"/>
  </cols>
  <sheetData>
    <row r="1">
      <c r="A1" s="1" t="inlineStr">
        <is>
          <t>Request ID</t>
        </is>
      </c>
      <c r="B1" s="1" t="inlineStr">
        <is>
          <t>Course Title</t>
        </is>
      </c>
      <c r="C1" s="1" t="inlineStr">
        <is>
          <t>Instructor</t>
        </is>
      </c>
      <c r="D1" s="1" t="inlineStr">
        <is>
          <t>Submitted Date</t>
        </is>
      </c>
      <c r="E1" s="1" t="inlineStr">
        <is>
          <t>SLA Due Date</t>
        </is>
      </c>
      <c r="F1" s="1" t="inlineStr">
        <is>
          <t>Days Until Due</t>
        </is>
      </c>
      <c r="G1" s="1" t="inlineStr">
        <is>
          <t>Status</t>
        </is>
      </c>
      <c r="H1" s="1" t="inlineStr">
        <is>
          <t>SLA Flag</t>
        </is>
      </c>
      <c r="I1" s="1" t="inlineStr">
        <is>
          <t>Reviewer</t>
        </is>
      </c>
    </row>
    <row r="2">
      <c r="A2" s="16">
        <f>Requests!A2</f>
        <v/>
      </c>
      <c r="B2" s="16">
        <f>Requests!B2</f>
        <v/>
      </c>
      <c r="C2" s="16">
        <f>Requests!C2</f>
        <v/>
      </c>
      <c r="D2" s="19">
        <f>Requests!D2</f>
        <v/>
      </c>
      <c r="E2" s="19">
        <f>Requests!M2</f>
        <v/>
      </c>
      <c r="F2" s="20">
        <f>Requests!M2-TODAY()</f>
        <v/>
      </c>
      <c r="G2" s="16">
        <f>Requests!O2</f>
        <v/>
      </c>
      <c r="H2" s="16">
        <f>IF(AND(G2&lt;&gt;"Approved",E2&lt;TODAY()),"Overdue",IF(AND(G2&lt;&gt;"Approved",E2-TODAY()&lt;=Rules!$C$26),"Due Soon","On Track"))</f>
        <v/>
      </c>
      <c r="I2" s="16">
        <f>Requests!N2</f>
        <v/>
      </c>
    </row>
    <row r="3">
      <c r="A3" s="16">
        <f>Requests!A3</f>
        <v/>
      </c>
      <c r="B3" s="16">
        <f>Requests!B3</f>
        <v/>
      </c>
      <c r="C3" s="16">
        <f>Requests!C3</f>
        <v/>
      </c>
      <c r="D3" s="19">
        <f>Requests!D3</f>
        <v/>
      </c>
      <c r="E3" s="19">
        <f>Requests!M3</f>
        <v/>
      </c>
      <c r="F3" s="20">
        <f>Requests!M3-TODAY()</f>
        <v/>
      </c>
      <c r="G3" s="16">
        <f>Requests!O3</f>
        <v/>
      </c>
      <c r="H3" s="16">
        <f>IF(AND(G3&lt;&gt;"Approved",E3&lt;TODAY()),"Overdue",IF(AND(G3&lt;&gt;"Approved",E3-TODAY()&lt;=Rules!$C$26),"Due Soon","On Track"))</f>
        <v/>
      </c>
      <c r="I3" s="16">
        <f>Requests!N3</f>
        <v/>
      </c>
    </row>
    <row r="4">
      <c r="A4" s="16">
        <f>Requests!A4</f>
        <v/>
      </c>
      <c r="B4" s="16">
        <f>Requests!B4</f>
        <v/>
      </c>
      <c r="C4" s="16">
        <f>Requests!C4</f>
        <v/>
      </c>
      <c r="D4" s="19">
        <f>Requests!D4</f>
        <v/>
      </c>
      <c r="E4" s="19">
        <f>Requests!M4</f>
        <v/>
      </c>
      <c r="F4" s="20">
        <f>Requests!M4-TODAY()</f>
        <v/>
      </c>
      <c r="G4" s="16">
        <f>Requests!O4</f>
        <v/>
      </c>
      <c r="H4" s="16">
        <f>IF(AND(G4&lt;&gt;"Approved",E4&lt;TODAY()),"Overdue",IF(AND(G4&lt;&gt;"Approved",E4-TODAY()&lt;=Rules!$C$26),"Due Soon","On Track"))</f>
        <v/>
      </c>
      <c r="I4" s="16">
        <f>Requests!N4</f>
        <v/>
      </c>
    </row>
    <row r="5">
      <c r="A5" s="16">
        <f>Requests!A5</f>
        <v/>
      </c>
      <c r="B5" s="16">
        <f>Requests!B5</f>
        <v/>
      </c>
      <c r="C5" s="16">
        <f>Requests!C5</f>
        <v/>
      </c>
      <c r="D5" s="19">
        <f>Requests!D5</f>
        <v/>
      </c>
      <c r="E5" s="19">
        <f>Requests!M5</f>
        <v/>
      </c>
      <c r="F5" s="20">
        <f>Requests!M5-TODAY()</f>
        <v/>
      </c>
      <c r="G5" s="16">
        <f>Requests!O5</f>
        <v/>
      </c>
      <c r="H5" s="16">
        <f>IF(AND(G5&lt;&gt;"Approved",E5&lt;TODAY()),"Overdue",IF(AND(G5&lt;&gt;"Approved",E5-TODAY()&lt;=Rules!$C$26),"Due Soon","On Track"))</f>
        <v/>
      </c>
      <c r="I5" s="16">
        <f>Requests!N5</f>
        <v/>
      </c>
    </row>
    <row r="6">
      <c r="A6" s="16">
        <f>Requests!A6</f>
        <v/>
      </c>
      <c r="B6" s="16">
        <f>Requests!B6</f>
        <v/>
      </c>
      <c r="C6" s="16">
        <f>Requests!C6</f>
        <v/>
      </c>
      <c r="D6" s="19">
        <f>Requests!D6</f>
        <v/>
      </c>
      <c r="E6" s="19">
        <f>Requests!M6</f>
        <v/>
      </c>
      <c r="F6" s="20">
        <f>Requests!M6-TODAY()</f>
        <v/>
      </c>
      <c r="G6" s="16">
        <f>Requests!O6</f>
        <v/>
      </c>
      <c r="H6" s="16">
        <f>IF(AND(G6&lt;&gt;"Approved",E6&lt;TODAY()),"Overdue",IF(AND(G6&lt;&gt;"Approved",E6-TODAY()&lt;=Rules!$C$26),"Due Soon","On Track"))</f>
        <v/>
      </c>
      <c r="I6" s="16">
        <f>Requests!N6</f>
        <v/>
      </c>
    </row>
    <row r="7">
      <c r="A7" s="16">
        <f>Requests!A7</f>
        <v/>
      </c>
      <c r="B7" s="16">
        <f>Requests!B7</f>
        <v/>
      </c>
      <c r="C7" s="16">
        <f>Requests!C7</f>
        <v/>
      </c>
      <c r="D7" s="19">
        <f>Requests!D7</f>
        <v/>
      </c>
      <c r="E7" s="19">
        <f>Requests!M7</f>
        <v/>
      </c>
      <c r="F7" s="20">
        <f>Requests!M7-TODAY()</f>
        <v/>
      </c>
      <c r="G7" s="16">
        <f>Requests!O7</f>
        <v/>
      </c>
      <c r="H7" s="16">
        <f>IF(AND(G7&lt;&gt;"Approved",E7&lt;TODAY()),"Overdue",IF(AND(G7&lt;&gt;"Approved",E7-TODAY()&lt;=Rules!$C$26),"Due Soon","On Track"))</f>
        <v/>
      </c>
      <c r="I7" s="16">
        <f>Requests!N7</f>
        <v/>
      </c>
    </row>
    <row r="8">
      <c r="A8" s="16">
        <f>Requests!A8</f>
        <v/>
      </c>
      <c r="B8" s="16">
        <f>Requests!B8</f>
        <v/>
      </c>
      <c r="C8" s="16">
        <f>Requests!C8</f>
        <v/>
      </c>
      <c r="D8" s="19">
        <f>Requests!D8</f>
        <v/>
      </c>
      <c r="E8" s="19">
        <f>Requests!M8</f>
        <v/>
      </c>
      <c r="F8" s="20">
        <f>Requests!M8-TODAY()</f>
        <v/>
      </c>
      <c r="G8" s="16">
        <f>Requests!O8</f>
        <v/>
      </c>
      <c r="H8" s="16">
        <f>IF(AND(G8&lt;&gt;"Approved",E8&lt;TODAY()),"Overdue",IF(AND(G8&lt;&gt;"Approved",E8-TODAY()&lt;=Rules!$C$26),"Due Soon","On Track"))</f>
        <v/>
      </c>
      <c r="I8" s="16">
        <f>Requests!N8</f>
        <v/>
      </c>
    </row>
    <row r="9">
      <c r="A9" s="16">
        <f>Requests!A9</f>
        <v/>
      </c>
      <c r="B9" s="16">
        <f>Requests!B9</f>
        <v/>
      </c>
      <c r="C9" s="16">
        <f>Requests!C9</f>
        <v/>
      </c>
      <c r="D9" s="19">
        <f>Requests!D9</f>
        <v/>
      </c>
      <c r="E9" s="19">
        <f>Requests!M9</f>
        <v/>
      </c>
      <c r="F9" s="20">
        <f>Requests!M9-TODAY()</f>
        <v/>
      </c>
      <c r="G9" s="16">
        <f>Requests!O9</f>
        <v/>
      </c>
      <c r="H9" s="16">
        <f>IF(AND(G9&lt;&gt;"Approved",E9&lt;TODAY()),"Overdue",IF(AND(G9&lt;&gt;"Approved",E9-TODAY()&lt;=Rules!$C$26),"Due Soon","On Track"))</f>
        <v/>
      </c>
      <c r="I9" s="16">
        <f>Requests!N9</f>
        <v/>
      </c>
    </row>
    <row r="10">
      <c r="A10" s="16">
        <f>Requests!A10</f>
        <v/>
      </c>
      <c r="B10" s="16">
        <f>Requests!B10</f>
        <v/>
      </c>
      <c r="C10" s="16">
        <f>Requests!C10</f>
        <v/>
      </c>
      <c r="D10" s="19">
        <f>Requests!D10</f>
        <v/>
      </c>
      <c r="E10" s="19">
        <f>Requests!M10</f>
        <v/>
      </c>
      <c r="F10" s="20">
        <f>Requests!M10-TODAY()</f>
        <v/>
      </c>
      <c r="G10" s="16">
        <f>Requests!O10</f>
        <v/>
      </c>
      <c r="H10" s="16">
        <f>IF(AND(G10&lt;&gt;"Approved",E10&lt;TODAY()),"Overdue",IF(AND(G10&lt;&gt;"Approved",E10-TODAY()&lt;=Rules!$C$26),"Due Soon","On Track"))</f>
        <v/>
      </c>
      <c r="I10" s="16">
        <f>Requests!N10</f>
        <v/>
      </c>
    </row>
    <row r="11">
      <c r="A11" s="16">
        <f>Requests!A11</f>
        <v/>
      </c>
      <c r="B11" s="16">
        <f>Requests!B11</f>
        <v/>
      </c>
      <c r="C11" s="16">
        <f>Requests!C11</f>
        <v/>
      </c>
      <c r="D11" s="19">
        <f>Requests!D11</f>
        <v/>
      </c>
      <c r="E11" s="19">
        <f>Requests!M11</f>
        <v/>
      </c>
      <c r="F11" s="20">
        <f>Requests!M11-TODAY()</f>
        <v/>
      </c>
      <c r="G11" s="16">
        <f>Requests!O11</f>
        <v/>
      </c>
      <c r="H11" s="16">
        <f>IF(AND(G11&lt;&gt;"Approved",E11&lt;TODAY()),"Overdue",IF(AND(G11&lt;&gt;"Approved",E11-TODAY()&lt;=Rules!$C$26),"Due Soon","On Track"))</f>
        <v/>
      </c>
      <c r="I11" s="16">
        <f>Requests!N11</f>
        <v/>
      </c>
    </row>
    <row r="12">
      <c r="A12" s="16">
        <f>Requests!A12</f>
        <v/>
      </c>
      <c r="B12" s="16">
        <f>Requests!B12</f>
        <v/>
      </c>
      <c r="C12" s="16">
        <f>Requests!C12</f>
        <v/>
      </c>
      <c r="D12" s="19">
        <f>Requests!D12</f>
        <v/>
      </c>
      <c r="E12" s="19">
        <f>Requests!M12</f>
        <v/>
      </c>
      <c r="F12" s="20">
        <f>Requests!M12-TODAY()</f>
        <v/>
      </c>
      <c r="G12" s="16">
        <f>Requests!O12</f>
        <v/>
      </c>
      <c r="H12" s="16">
        <f>IF(AND(G12&lt;&gt;"Approved",E12&lt;TODAY()),"Overdue",IF(AND(G12&lt;&gt;"Approved",E12-TODAY()&lt;=Rules!$C$26),"Due Soon","On Track"))</f>
        <v/>
      </c>
      <c r="I12" s="16">
        <f>Requests!N12</f>
        <v/>
      </c>
    </row>
    <row r="13">
      <c r="A13" s="16">
        <f>Requests!A13</f>
        <v/>
      </c>
      <c r="B13" s="16">
        <f>Requests!B13</f>
        <v/>
      </c>
      <c r="C13" s="16">
        <f>Requests!C13</f>
        <v/>
      </c>
      <c r="D13" s="19">
        <f>Requests!D13</f>
        <v/>
      </c>
      <c r="E13" s="19">
        <f>Requests!M13</f>
        <v/>
      </c>
      <c r="F13" s="20">
        <f>Requests!M13-TODAY()</f>
        <v/>
      </c>
      <c r="G13" s="16">
        <f>Requests!O13</f>
        <v/>
      </c>
      <c r="H13" s="16">
        <f>IF(AND(G13&lt;&gt;"Approved",E13&lt;TODAY()),"Overdue",IF(AND(G13&lt;&gt;"Approved",E13-TODAY()&lt;=Rules!$C$26),"Due Soon","On Track"))</f>
        <v/>
      </c>
      <c r="I13" s="16">
        <f>Requests!N13</f>
        <v/>
      </c>
    </row>
    <row r="14">
      <c r="A14" s="16">
        <f>Requests!A14</f>
        <v/>
      </c>
      <c r="B14" s="16">
        <f>Requests!B14</f>
        <v/>
      </c>
      <c r="C14" s="16">
        <f>Requests!C14</f>
        <v/>
      </c>
      <c r="D14" s="19">
        <f>Requests!D14</f>
        <v/>
      </c>
      <c r="E14" s="19">
        <f>Requests!M14</f>
        <v/>
      </c>
      <c r="F14" s="20">
        <f>Requests!M14-TODAY()</f>
        <v/>
      </c>
      <c r="G14" s="16">
        <f>Requests!O14</f>
        <v/>
      </c>
      <c r="H14" s="16">
        <f>IF(AND(G14&lt;&gt;"Approved",E14&lt;TODAY()),"Overdue",IF(AND(G14&lt;&gt;"Approved",E14-TODAY()&lt;=Rules!$C$26),"Due Soon","On Track"))</f>
        <v/>
      </c>
      <c r="I14" s="16">
        <f>Requests!N14</f>
        <v/>
      </c>
    </row>
    <row r="15">
      <c r="A15" s="16">
        <f>Requests!A15</f>
        <v/>
      </c>
      <c r="B15" s="16">
        <f>Requests!B15</f>
        <v/>
      </c>
      <c r="C15" s="16">
        <f>Requests!C15</f>
        <v/>
      </c>
      <c r="D15" s="19">
        <f>Requests!D15</f>
        <v/>
      </c>
      <c r="E15" s="19">
        <f>Requests!M15</f>
        <v/>
      </c>
      <c r="F15" s="20">
        <f>Requests!M15-TODAY()</f>
        <v/>
      </c>
      <c r="G15" s="16">
        <f>Requests!O15</f>
        <v/>
      </c>
      <c r="H15" s="16">
        <f>IF(AND(G15&lt;&gt;"Approved",E15&lt;TODAY()),"Overdue",IF(AND(G15&lt;&gt;"Approved",E15-TODAY()&lt;=Rules!$C$26),"Due Soon","On Track"))</f>
        <v/>
      </c>
      <c r="I15" s="16">
        <f>Requests!N15</f>
        <v/>
      </c>
    </row>
    <row r="16">
      <c r="A16" s="16">
        <f>Requests!A16</f>
        <v/>
      </c>
      <c r="B16" s="16">
        <f>Requests!B16</f>
        <v/>
      </c>
      <c r="C16" s="16">
        <f>Requests!C16</f>
        <v/>
      </c>
      <c r="D16" s="19">
        <f>Requests!D16</f>
        <v/>
      </c>
      <c r="E16" s="19">
        <f>Requests!M16</f>
        <v/>
      </c>
      <c r="F16" s="20">
        <f>Requests!M16-TODAY()</f>
        <v/>
      </c>
      <c r="G16" s="16">
        <f>Requests!O16</f>
        <v/>
      </c>
      <c r="H16" s="16">
        <f>IF(AND(G16&lt;&gt;"Approved",E16&lt;TODAY()),"Overdue",IF(AND(G16&lt;&gt;"Approved",E16-TODAY()&lt;=Rules!$C$26),"Due Soon","On Track"))</f>
        <v/>
      </c>
      <c r="I16" s="16">
        <f>Requests!N16</f>
        <v/>
      </c>
    </row>
    <row r="17">
      <c r="A17" s="16">
        <f>Requests!A17</f>
        <v/>
      </c>
      <c r="B17" s="16">
        <f>Requests!B17</f>
        <v/>
      </c>
      <c r="C17" s="16">
        <f>Requests!C17</f>
        <v/>
      </c>
      <c r="D17" s="19">
        <f>Requests!D17</f>
        <v/>
      </c>
      <c r="E17" s="19">
        <f>Requests!M17</f>
        <v/>
      </c>
      <c r="F17" s="20">
        <f>Requests!M17-TODAY()</f>
        <v/>
      </c>
      <c r="G17" s="16">
        <f>Requests!O17</f>
        <v/>
      </c>
      <c r="H17" s="16">
        <f>IF(AND(G17&lt;&gt;"Approved",E17&lt;TODAY()),"Overdue",IF(AND(G17&lt;&gt;"Approved",E17-TODAY()&lt;=Rules!$C$26),"Due Soon","On Track"))</f>
        <v/>
      </c>
      <c r="I17" s="16">
        <f>Requests!N17</f>
        <v/>
      </c>
    </row>
    <row r="18">
      <c r="A18" s="16">
        <f>Requests!A18</f>
        <v/>
      </c>
      <c r="B18" s="16">
        <f>Requests!B18</f>
        <v/>
      </c>
      <c r="C18" s="16">
        <f>Requests!C18</f>
        <v/>
      </c>
      <c r="D18" s="19">
        <f>Requests!D18</f>
        <v/>
      </c>
      <c r="E18" s="19">
        <f>Requests!M18</f>
        <v/>
      </c>
      <c r="F18" s="20">
        <f>Requests!M18-TODAY()</f>
        <v/>
      </c>
      <c r="G18" s="16">
        <f>Requests!O18</f>
        <v/>
      </c>
      <c r="H18" s="16">
        <f>IF(AND(G18&lt;&gt;"Approved",E18&lt;TODAY()),"Overdue",IF(AND(G18&lt;&gt;"Approved",E18-TODAY()&lt;=Rules!$C$26),"Due Soon","On Track"))</f>
        <v/>
      </c>
      <c r="I18" s="16">
        <f>Requests!N18</f>
        <v/>
      </c>
    </row>
    <row r="19">
      <c r="A19" s="16">
        <f>Requests!A19</f>
        <v/>
      </c>
      <c r="B19" s="16">
        <f>Requests!B19</f>
        <v/>
      </c>
      <c r="C19" s="16">
        <f>Requests!C19</f>
        <v/>
      </c>
      <c r="D19" s="19">
        <f>Requests!D19</f>
        <v/>
      </c>
      <c r="E19" s="19">
        <f>Requests!M19</f>
        <v/>
      </c>
      <c r="F19" s="20">
        <f>Requests!M19-TODAY()</f>
        <v/>
      </c>
      <c r="G19" s="16">
        <f>Requests!O19</f>
        <v/>
      </c>
      <c r="H19" s="16">
        <f>IF(AND(G19&lt;&gt;"Approved",E19&lt;TODAY()),"Overdue",IF(AND(G19&lt;&gt;"Approved",E19-TODAY()&lt;=Rules!$C$26),"Due Soon","On Track"))</f>
        <v/>
      </c>
      <c r="I19" s="16">
        <f>Requests!N19</f>
        <v/>
      </c>
    </row>
    <row r="20">
      <c r="A20" s="16">
        <f>Requests!A20</f>
        <v/>
      </c>
      <c r="B20" s="16">
        <f>Requests!B20</f>
        <v/>
      </c>
      <c r="C20" s="16">
        <f>Requests!C20</f>
        <v/>
      </c>
      <c r="D20" s="19">
        <f>Requests!D20</f>
        <v/>
      </c>
      <c r="E20" s="19">
        <f>Requests!M20</f>
        <v/>
      </c>
      <c r="F20" s="20">
        <f>Requests!M20-TODAY()</f>
        <v/>
      </c>
      <c r="G20" s="16">
        <f>Requests!O20</f>
        <v/>
      </c>
      <c r="H20" s="16">
        <f>IF(AND(G20&lt;&gt;"Approved",E20&lt;TODAY()),"Overdue",IF(AND(G20&lt;&gt;"Approved",E20-TODAY()&lt;=Rules!$C$26),"Due Soon","On Track"))</f>
        <v/>
      </c>
      <c r="I20" s="16">
        <f>Requests!N20</f>
        <v/>
      </c>
    </row>
    <row r="21">
      <c r="A21" s="16">
        <f>Requests!A21</f>
        <v/>
      </c>
      <c r="B21" s="16">
        <f>Requests!B21</f>
        <v/>
      </c>
      <c r="C21" s="16">
        <f>Requests!C21</f>
        <v/>
      </c>
      <c r="D21" s="19">
        <f>Requests!D21</f>
        <v/>
      </c>
      <c r="E21" s="19">
        <f>Requests!M21</f>
        <v/>
      </c>
      <c r="F21" s="20">
        <f>Requests!M21-TODAY()</f>
        <v/>
      </c>
      <c r="G21" s="16">
        <f>Requests!O21</f>
        <v/>
      </c>
      <c r="H21" s="16">
        <f>IF(AND(G21&lt;&gt;"Approved",E21&lt;TODAY()),"Overdue",IF(AND(G21&lt;&gt;"Approved",E21-TODAY()&lt;=Rules!$C$26),"Due Soon","On Track"))</f>
        <v/>
      </c>
      <c r="I21" s="16">
        <f>Requests!N21</f>
        <v/>
      </c>
    </row>
    <row r="22">
      <c r="A22" s="16">
        <f>Requests!A22</f>
        <v/>
      </c>
      <c r="B22" s="16">
        <f>Requests!B22</f>
        <v/>
      </c>
      <c r="C22" s="16">
        <f>Requests!C22</f>
        <v/>
      </c>
      <c r="D22" s="19">
        <f>Requests!D22</f>
        <v/>
      </c>
      <c r="E22" s="19">
        <f>Requests!M22</f>
        <v/>
      </c>
      <c r="F22" s="20">
        <f>Requests!M22-TODAY()</f>
        <v/>
      </c>
      <c r="G22" s="16">
        <f>Requests!O22</f>
        <v/>
      </c>
      <c r="H22" s="16">
        <f>IF(AND(G22&lt;&gt;"Approved",E22&lt;TODAY()),"Overdue",IF(AND(G22&lt;&gt;"Approved",E22-TODAY()&lt;=Rules!$C$26),"Due Soon","On Track"))</f>
        <v/>
      </c>
      <c r="I22" s="16">
        <f>Requests!N22</f>
        <v/>
      </c>
    </row>
    <row r="23">
      <c r="A23" s="16">
        <f>Requests!A23</f>
        <v/>
      </c>
      <c r="B23" s="16">
        <f>Requests!B23</f>
        <v/>
      </c>
      <c r="C23" s="16">
        <f>Requests!C23</f>
        <v/>
      </c>
      <c r="D23" s="19">
        <f>Requests!D23</f>
        <v/>
      </c>
      <c r="E23" s="19">
        <f>Requests!M23</f>
        <v/>
      </c>
      <c r="F23" s="20">
        <f>Requests!M23-TODAY()</f>
        <v/>
      </c>
      <c r="G23" s="16">
        <f>Requests!O23</f>
        <v/>
      </c>
      <c r="H23" s="16">
        <f>IF(AND(G23&lt;&gt;"Approved",E23&lt;TODAY()),"Overdue",IF(AND(G23&lt;&gt;"Approved",E23-TODAY()&lt;=Rules!$C$26),"Due Soon","On Track"))</f>
        <v/>
      </c>
      <c r="I23" s="16">
        <f>Requests!N23</f>
        <v/>
      </c>
    </row>
    <row r="24">
      <c r="A24" s="16">
        <f>Requests!A24</f>
        <v/>
      </c>
      <c r="B24" s="16">
        <f>Requests!B24</f>
        <v/>
      </c>
      <c r="C24" s="16">
        <f>Requests!C24</f>
        <v/>
      </c>
      <c r="D24" s="19">
        <f>Requests!D24</f>
        <v/>
      </c>
      <c r="E24" s="19">
        <f>Requests!M24</f>
        <v/>
      </c>
      <c r="F24" s="20">
        <f>Requests!M24-TODAY()</f>
        <v/>
      </c>
      <c r="G24" s="16">
        <f>Requests!O24</f>
        <v/>
      </c>
      <c r="H24" s="16">
        <f>IF(AND(G24&lt;&gt;"Approved",E24&lt;TODAY()),"Overdue",IF(AND(G24&lt;&gt;"Approved",E24-TODAY()&lt;=Rules!$C$26),"Due Soon","On Track"))</f>
        <v/>
      </c>
      <c r="I24" s="16">
        <f>Requests!N24</f>
        <v/>
      </c>
    </row>
    <row r="25">
      <c r="A25" s="16">
        <f>Requests!A25</f>
        <v/>
      </c>
      <c r="B25" s="16">
        <f>Requests!B25</f>
        <v/>
      </c>
      <c r="C25" s="16">
        <f>Requests!C25</f>
        <v/>
      </c>
      <c r="D25" s="19">
        <f>Requests!D25</f>
        <v/>
      </c>
      <c r="E25" s="19">
        <f>Requests!M25</f>
        <v/>
      </c>
      <c r="F25" s="20">
        <f>Requests!M25-TODAY()</f>
        <v/>
      </c>
      <c r="G25" s="16">
        <f>Requests!O25</f>
        <v/>
      </c>
      <c r="H25" s="16">
        <f>IF(AND(G25&lt;&gt;"Approved",E25&lt;TODAY()),"Overdue",IF(AND(G25&lt;&gt;"Approved",E25-TODAY()&lt;=Rules!$C$26),"Due Soon","On Track"))</f>
        <v/>
      </c>
      <c r="I25" s="16">
        <f>Requests!N25</f>
        <v/>
      </c>
    </row>
    <row r="26">
      <c r="A26" s="16">
        <f>Requests!A26</f>
        <v/>
      </c>
      <c r="B26" s="16">
        <f>Requests!B26</f>
        <v/>
      </c>
      <c r="C26" s="16">
        <f>Requests!C26</f>
        <v/>
      </c>
      <c r="D26" s="19">
        <f>Requests!D26</f>
        <v/>
      </c>
      <c r="E26" s="19">
        <f>Requests!M26</f>
        <v/>
      </c>
      <c r="F26" s="20">
        <f>Requests!M26-TODAY()</f>
        <v/>
      </c>
      <c r="G26" s="16">
        <f>Requests!O26</f>
        <v/>
      </c>
      <c r="H26" s="16">
        <f>IF(AND(G26&lt;&gt;"Approved",E26&lt;TODAY()),"Overdue",IF(AND(G26&lt;&gt;"Approved",E26-TODAY()&lt;=Rules!$C$26),"Due Soon","On Track"))</f>
        <v/>
      </c>
      <c r="I26" s="16">
        <f>Requests!N26</f>
        <v/>
      </c>
    </row>
    <row r="27">
      <c r="A27" s="16">
        <f>Requests!A27</f>
        <v/>
      </c>
      <c r="B27" s="16">
        <f>Requests!B27</f>
        <v/>
      </c>
      <c r="C27" s="16">
        <f>Requests!C27</f>
        <v/>
      </c>
      <c r="D27" s="19">
        <f>Requests!D27</f>
        <v/>
      </c>
      <c r="E27" s="19">
        <f>Requests!M27</f>
        <v/>
      </c>
      <c r="F27" s="20">
        <f>Requests!M27-TODAY()</f>
        <v/>
      </c>
      <c r="G27" s="16">
        <f>Requests!O27</f>
        <v/>
      </c>
      <c r="H27" s="16">
        <f>IF(AND(G27&lt;&gt;"Approved",E27&lt;TODAY()),"Overdue",IF(AND(G27&lt;&gt;"Approved",E27-TODAY()&lt;=Rules!$C$26),"Due Soon","On Track"))</f>
        <v/>
      </c>
      <c r="I27" s="16">
        <f>Requests!N27</f>
        <v/>
      </c>
    </row>
    <row r="28">
      <c r="A28" s="16">
        <f>Requests!A28</f>
        <v/>
      </c>
      <c r="B28" s="16">
        <f>Requests!B28</f>
        <v/>
      </c>
      <c r="C28" s="16">
        <f>Requests!C28</f>
        <v/>
      </c>
      <c r="D28" s="19">
        <f>Requests!D28</f>
        <v/>
      </c>
      <c r="E28" s="19">
        <f>Requests!M28</f>
        <v/>
      </c>
      <c r="F28" s="20">
        <f>Requests!M28-TODAY()</f>
        <v/>
      </c>
      <c r="G28" s="16">
        <f>Requests!O28</f>
        <v/>
      </c>
      <c r="H28" s="16">
        <f>IF(AND(G28&lt;&gt;"Approved",E28&lt;TODAY()),"Overdue",IF(AND(G28&lt;&gt;"Approved",E28-TODAY()&lt;=Rules!$C$26),"Due Soon","On Track"))</f>
        <v/>
      </c>
      <c r="I28" s="16">
        <f>Requests!N28</f>
        <v/>
      </c>
    </row>
    <row r="29">
      <c r="A29" s="16">
        <f>Requests!A29</f>
        <v/>
      </c>
      <c r="B29" s="16">
        <f>Requests!B29</f>
        <v/>
      </c>
      <c r="C29" s="16">
        <f>Requests!C29</f>
        <v/>
      </c>
      <c r="D29" s="19">
        <f>Requests!D29</f>
        <v/>
      </c>
      <c r="E29" s="19">
        <f>Requests!M29</f>
        <v/>
      </c>
      <c r="F29" s="20">
        <f>Requests!M29-TODAY()</f>
        <v/>
      </c>
      <c r="G29" s="16">
        <f>Requests!O29</f>
        <v/>
      </c>
      <c r="H29" s="16">
        <f>IF(AND(G29&lt;&gt;"Approved",E29&lt;TODAY()),"Overdue",IF(AND(G29&lt;&gt;"Approved",E29-TODAY()&lt;=Rules!$C$26),"Due Soon","On Track"))</f>
        <v/>
      </c>
      <c r="I29" s="16">
        <f>Requests!N29</f>
        <v/>
      </c>
    </row>
    <row r="30">
      <c r="A30" s="16">
        <f>Requests!A30</f>
        <v/>
      </c>
      <c r="B30" s="16">
        <f>Requests!B30</f>
        <v/>
      </c>
      <c r="C30" s="16">
        <f>Requests!C30</f>
        <v/>
      </c>
      <c r="D30" s="19">
        <f>Requests!D30</f>
        <v/>
      </c>
      <c r="E30" s="19">
        <f>Requests!M30</f>
        <v/>
      </c>
      <c r="F30" s="20">
        <f>Requests!M30-TODAY()</f>
        <v/>
      </c>
      <c r="G30" s="16">
        <f>Requests!O30</f>
        <v/>
      </c>
      <c r="H30" s="16">
        <f>IF(AND(G30&lt;&gt;"Approved",E30&lt;TODAY()),"Overdue",IF(AND(G30&lt;&gt;"Approved",E30-TODAY()&lt;=Rules!$C$26),"Due Soon","On Track"))</f>
        <v/>
      </c>
      <c r="I30" s="16">
        <f>Requests!N30</f>
        <v/>
      </c>
    </row>
    <row r="31">
      <c r="A31" s="16">
        <f>Requests!A31</f>
        <v/>
      </c>
      <c r="B31" s="16">
        <f>Requests!B31</f>
        <v/>
      </c>
      <c r="C31" s="16">
        <f>Requests!C31</f>
        <v/>
      </c>
      <c r="D31" s="19">
        <f>Requests!D31</f>
        <v/>
      </c>
      <c r="E31" s="19">
        <f>Requests!M31</f>
        <v/>
      </c>
      <c r="F31" s="20">
        <f>Requests!M31-TODAY()</f>
        <v/>
      </c>
      <c r="G31" s="16">
        <f>Requests!O31</f>
        <v/>
      </c>
      <c r="H31" s="16">
        <f>IF(AND(G31&lt;&gt;"Approved",E31&lt;TODAY()),"Overdue",IF(AND(G31&lt;&gt;"Approved",E31-TODAY()&lt;=Rules!$C$26),"Due Soon","On Track"))</f>
        <v/>
      </c>
      <c r="I31" s="16">
        <f>Requests!N31</f>
        <v/>
      </c>
    </row>
    <row r="32">
      <c r="A32" s="16">
        <f>Requests!A32</f>
        <v/>
      </c>
      <c r="B32" s="16">
        <f>Requests!B32</f>
        <v/>
      </c>
      <c r="C32" s="16">
        <f>Requests!C32</f>
        <v/>
      </c>
      <c r="D32" s="19">
        <f>Requests!D32</f>
        <v/>
      </c>
      <c r="E32" s="19">
        <f>Requests!M32</f>
        <v/>
      </c>
      <c r="F32" s="20">
        <f>Requests!M32-TODAY()</f>
        <v/>
      </c>
      <c r="G32" s="16">
        <f>Requests!O32</f>
        <v/>
      </c>
      <c r="H32" s="16">
        <f>IF(AND(G32&lt;&gt;"Approved",E32&lt;TODAY()),"Overdue",IF(AND(G32&lt;&gt;"Approved",E32-TODAY()&lt;=Rules!$C$26),"Due Soon","On Track"))</f>
        <v/>
      </c>
      <c r="I32" s="16">
        <f>Requests!N32</f>
        <v/>
      </c>
    </row>
    <row r="33">
      <c r="A33" s="16">
        <f>Requests!A33</f>
        <v/>
      </c>
      <c r="B33" s="16">
        <f>Requests!B33</f>
        <v/>
      </c>
      <c r="C33" s="16">
        <f>Requests!C33</f>
        <v/>
      </c>
      <c r="D33" s="19">
        <f>Requests!D33</f>
        <v/>
      </c>
      <c r="E33" s="19">
        <f>Requests!M33</f>
        <v/>
      </c>
      <c r="F33" s="20">
        <f>Requests!M33-TODAY()</f>
        <v/>
      </c>
      <c r="G33" s="16">
        <f>Requests!O33</f>
        <v/>
      </c>
      <c r="H33" s="16">
        <f>IF(AND(G33&lt;&gt;"Approved",E33&lt;TODAY()),"Overdue",IF(AND(G33&lt;&gt;"Approved",E33-TODAY()&lt;=Rules!$C$26),"Due Soon","On Track"))</f>
        <v/>
      </c>
      <c r="I33" s="16">
        <f>Requests!N33</f>
        <v/>
      </c>
    </row>
    <row r="34">
      <c r="A34" s="16">
        <f>Requests!A34</f>
        <v/>
      </c>
      <c r="B34" s="16">
        <f>Requests!B34</f>
        <v/>
      </c>
      <c r="C34" s="16">
        <f>Requests!C34</f>
        <v/>
      </c>
      <c r="D34" s="19">
        <f>Requests!D34</f>
        <v/>
      </c>
      <c r="E34" s="19">
        <f>Requests!M34</f>
        <v/>
      </c>
      <c r="F34" s="20">
        <f>Requests!M34-TODAY()</f>
        <v/>
      </c>
      <c r="G34" s="16">
        <f>Requests!O34</f>
        <v/>
      </c>
      <c r="H34" s="16">
        <f>IF(AND(G34&lt;&gt;"Approved",E34&lt;TODAY()),"Overdue",IF(AND(G34&lt;&gt;"Approved",E34-TODAY()&lt;=Rules!$C$26),"Due Soon","On Track"))</f>
        <v/>
      </c>
      <c r="I34" s="16">
        <f>Requests!N34</f>
        <v/>
      </c>
    </row>
    <row r="35">
      <c r="A35" s="16">
        <f>Requests!A35</f>
        <v/>
      </c>
      <c r="B35" s="16">
        <f>Requests!B35</f>
        <v/>
      </c>
      <c r="C35" s="16">
        <f>Requests!C35</f>
        <v/>
      </c>
      <c r="D35" s="19">
        <f>Requests!D35</f>
        <v/>
      </c>
      <c r="E35" s="19">
        <f>Requests!M35</f>
        <v/>
      </c>
      <c r="F35" s="20">
        <f>Requests!M35-TODAY()</f>
        <v/>
      </c>
      <c r="G35" s="16">
        <f>Requests!O35</f>
        <v/>
      </c>
      <c r="H35" s="16">
        <f>IF(AND(G35&lt;&gt;"Approved",E35&lt;TODAY()),"Overdue",IF(AND(G35&lt;&gt;"Approved",E35-TODAY()&lt;=Rules!$C$26),"Due Soon","On Track"))</f>
        <v/>
      </c>
      <c r="I35" s="16">
        <f>Requests!N35</f>
        <v/>
      </c>
    </row>
    <row r="36">
      <c r="A36" s="16">
        <f>Requests!A36</f>
        <v/>
      </c>
      <c r="B36" s="16">
        <f>Requests!B36</f>
        <v/>
      </c>
      <c r="C36" s="16">
        <f>Requests!C36</f>
        <v/>
      </c>
      <c r="D36" s="19">
        <f>Requests!D36</f>
        <v/>
      </c>
      <c r="E36" s="19">
        <f>Requests!M36</f>
        <v/>
      </c>
      <c r="F36" s="20">
        <f>Requests!M36-TODAY()</f>
        <v/>
      </c>
      <c r="G36" s="16">
        <f>Requests!O36</f>
        <v/>
      </c>
      <c r="H36" s="16">
        <f>IF(AND(G36&lt;&gt;"Approved",E36&lt;TODAY()),"Overdue",IF(AND(G36&lt;&gt;"Approved",E36-TODAY()&lt;=Rules!$C$26),"Due Soon","On Track"))</f>
        <v/>
      </c>
      <c r="I36" s="16">
        <f>Requests!N36</f>
        <v/>
      </c>
    </row>
    <row r="37">
      <c r="A37" s="16">
        <f>Requests!A37</f>
        <v/>
      </c>
      <c r="B37" s="16">
        <f>Requests!B37</f>
        <v/>
      </c>
      <c r="C37" s="16">
        <f>Requests!C37</f>
        <v/>
      </c>
      <c r="D37" s="19">
        <f>Requests!D37</f>
        <v/>
      </c>
      <c r="E37" s="19">
        <f>Requests!M37</f>
        <v/>
      </c>
      <c r="F37" s="20">
        <f>Requests!M37-TODAY()</f>
        <v/>
      </c>
      <c r="G37" s="16">
        <f>Requests!O37</f>
        <v/>
      </c>
      <c r="H37" s="16">
        <f>IF(AND(G37&lt;&gt;"Approved",E37&lt;TODAY()),"Overdue",IF(AND(G37&lt;&gt;"Approved",E37-TODAY()&lt;=Rules!$C$26),"Due Soon","On Track"))</f>
        <v/>
      </c>
      <c r="I37" s="16">
        <f>Requests!N37</f>
        <v/>
      </c>
    </row>
    <row r="38">
      <c r="A38" s="16">
        <f>Requests!A38</f>
        <v/>
      </c>
      <c r="B38" s="16">
        <f>Requests!B38</f>
        <v/>
      </c>
      <c r="C38" s="16">
        <f>Requests!C38</f>
        <v/>
      </c>
      <c r="D38" s="19">
        <f>Requests!D38</f>
        <v/>
      </c>
      <c r="E38" s="19">
        <f>Requests!M38</f>
        <v/>
      </c>
      <c r="F38" s="20">
        <f>Requests!M38-TODAY()</f>
        <v/>
      </c>
      <c r="G38" s="16">
        <f>Requests!O38</f>
        <v/>
      </c>
      <c r="H38" s="16">
        <f>IF(AND(G38&lt;&gt;"Approved",E38&lt;TODAY()),"Overdue",IF(AND(G38&lt;&gt;"Approved",E38-TODAY()&lt;=Rules!$C$26),"Due Soon","On Track"))</f>
        <v/>
      </c>
      <c r="I38" s="16">
        <f>Requests!N38</f>
        <v/>
      </c>
    </row>
    <row r="39">
      <c r="A39" s="16">
        <f>Requests!A39</f>
        <v/>
      </c>
      <c r="B39" s="16">
        <f>Requests!B39</f>
        <v/>
      </c>
      <c r="C39" s="16">
        <f>Requests!C39</f>
        <v/>
      </c>
      <c r="D39" s="19">
        <f>Requests!D39</f>
        <v/>
      </c>
      <c r="E39" s="19">
        <f>Requests!M39</f>
        <v/>
      </c>
      <c r="F39" s="20">
        <f>Requests!M39-TODAY()</f>
        <v/>
      </c>
      <c r="G39" s="16">
        <f>Requests!O39</f>
        <v/>
      </c>
      <c r="H39" s="16">
        <f>IF(AND(G39&lt;&gt;"Approved",E39&lt;TODAY()),"Overdue",IF(AND(G39&lt;&gt;"Approved",E39-TODAY()&lt;=Rules!$C$26),"Due Soon","On Track"))</f>
        <v/>
      </c>
      <c r="I39" s="16">
        <f>Requests!N39</f>
        <v/>
      </c>
    </row>
    <row r="40">
      <c r="A40" s="16">
        <f>Requests!A40</f>
        <v/>
      </c>
      <c r="B40" s="16">
        <f>Requests!B40</f>
        <v/>
      </c>
      <c r="C40" s="16">
        <f>Requests!C40</f>
        <v/>
      </c>
      <c r="D40" s="19">
        <f>Requests!D40</f>
        <v/>
      </c>
      <c r="E40" s="19">
        <f>Requests!M40</f>
        <v/>
      </c>
      <c r="F40" s="20">
        <f>Requests!M40-TODAY()</f>
        <v/>
      </c>
      <c r="G40" s="16">
        <f>Requests!O40</f>
        <v/>
      </c>
      <c r="H40" s="16">
        <f>IF(AND(G40&lt;&gt;"Approved",E40&lt;TODAY()),"Overdue",IF(AND(G40&lt;&gt;"Approved",E40-TODAY()&lt;=Rules!$C$26),"Due Soon","On Track"))</f>
        <v/>
      </c>
      <c r="I40" s="16">
        <f>Requests!N40</f>
        <v/>
      </c>
    </row>
    <row r="41">
      <c r="A41" s="16">
        <f>Requests!A41</f>
        <v/>
      </c>
      <c r="B41" s="16">
        <f>Requests!B41</f>
        <v/>
      </c>
      <c r="C41" s="16">
        <f>Requests!C41</f>
        <v/>
      </c>
      <c r="D41" s="19">
        <f>Requests!D41</f>
        <v/>
      </c>
      <c r="E41" s="19">
        <f>Requests!M41</f>
        <v/>
      </c>
      <c r="F41" s="20">
        <f>Requests!M41-TODAY()</f>
        <v/>
      </c>
      <c r="G41" s="16">
        <f>Requests!O41</f>
        <v/>
      </c>
      <c r="H41" s="16">
        <f>IF(AND(G41&lt;&gt;"Approved",E41&lt;TODAY()),"Overdue",IF(AND(G41&lt;&gt;"Approved",E41-TODAY()&lt;=Rules!$C$26),"Due Soon","On Track"))</f>
        <v/>
      </c>
      <c r="I41" s="16">
        <f>Requests!N41</f>
        <v/>
      </c>
    </row>
    <row r="42">
      <c r="A42" s="16">
        <f>Requests!A42</f>
        <v/>
      </c>
      <c r="B42" s="16">
        <f>Requests!B42</f>
        <v/>
      </c>
      <c r="C42" s="16">
        <f>Requests!C42</f>
        <v/>
      </c>
      <c r="D42" s="19">
        <f>Requests!D42</f>
        <v/>
      </c>
      <c r="E42" s="19">
        <f>Requests!M42</f>
        <v/>
      </c>
      <c r="F42" s="20">
        <f>Requests!M42-TODAY()</f>
        <v/>
      </c>
      <c r="G42" s="16">
        <f>Requests!O42</f>
        <v/>
      </c>
      <c r="H42" s="16">
        <f>IF(AND(G42&lt;&gt;"Approved",E42&lt;TODAY()),"Overdue",IF(AND(G42&lt;&gt;"Approved",E42-TODAY()&lt;=Rules!$C$26),"Due Soon","On Track"))</f>
        <v/>
      </c>
      <c r="I42" s="16">
        <f>Requests!N42</f>
        <v/>
      </c>
    </row>
    <row r="43">
      <c r="A43" s="16">
        <f>Requests!A43</f>
        <v/>
      </c>
      <c r="B43" s="16">
        <f>Requests!B43</f>
        <v/>
      </c>
      <c r="C43" s="16">
        <f>Requests!C43</f>
        <v/>
      </c>
      <c r="D43" s="19">
        <f>Requests!D43</f>
        <v/>
      </c>
      <c r="E43" s="19">
        <f>Requests!M43</f>
        <v/>
      </c>
      <c r="F43" s="20">
        <f>Requests!M43-TODAY()</f>
        <v/>
      </c>
      <c r="G43" s="16">
        <f>Requests!O43</f>
        <v/>
      </c>
      <c r="H43" s="16">
        <f>IF(AND(G43&lt;&gt;"Approved",E43&lt;TODAY()),"Overdue",IF(AND(G43&lt;&gt;"Approved",E43-TODAY()&lt;=Rules!$C$26),"Due Soon","On Track"))</f>
        <v/>
      </c>
      <c r="I43" s="16">
        <f>Requests!N43</f>
        <v/>
      </c>
    </row>
    <row r="44">
      <c r="A44" s="16">
        <f>Requests!A44</f>
        <v/>
      </c>
      <c r="B44" s="16">
        <f>Requests!B44</f>
        <v/>
      </c>
      <c r="C44" s="16">
        <f>Requests!C44</f>
        <v/>
      </c>
      <c r="D44" s="19">
        <f>Requests!D44</f>
        <v/>
      </c>
      <c r="E44" s="19">
        <f>Requests!M44</f>
        <v/>
      </c>
      <c r="F44" s="20">
        <f>Requests!M44-TODAY()</f>
        <v/>
      </c>
      <c r="G44" s="16">
        <f>Requests!O44</f>
        <v/>
      </c>
      <c r="H44" s="16">
        <f>IF(AND(G44&lt;&gt;"Approved",E44&lt;TODAY()),"Overdue",IF(AND(G44&lt;&gt;"Approved",E44-TODAY()&lt;=Rules!$C$26),"Due Soon","On Track"))</f>
        <v/>
      </c>
      <c r="I44" s="16">
        <f>Requests!N44</f>
        <v/>
      </c>
    </row>
    <row r="45">
      <c r="A45" s="16">
        <f>Requests!A45</f>
        <v/>
      </c>
      <c r="B45" s="16">
        <f>Requests!B45</f>
        <v/>
      </c>
      <c r="C45" s="16">
        <f>Requests!C45</f>
        <v/>
      </c>
      <c r="D45" s="19">
        <f>Requests!D45</f>
        <v/>
      </c>
      <c r="E45" s="19">
        <f>Requests!M45</f>
        <v/>
      </c>
      <c r="F45" s="20">
        <f>Requests!M45-TODAY()</f>
        <v/>
      </c>
      <c r="G45" s="16">
        <f>Requests!O45</f>
        <v/>
      </c>
      <c r="H45" s="16">
        <f>IF(AND(G45&lt;&gt;"Approved",E45&lt;TODAY()),"Overdue",IF(AND(G45&lt;&gt;"Approved",E45-TODAY()&lt;=Rules!$C$26),"Due Soon","On Track"))</f>
        <v/>
      </c>
      <c r="I45" s="16">
        <f>Requests!N45</f>
        <v/>
      </c>
    </row>
    <row r="46">
      <c r="A46" s="16">
        <f>Requests!A46</f>
        <v/>
      </c>
      <c r="B46" s="16">
        <f>Requests!B46</f>
        <v/>
      </c>
      <c r="C46" s="16">
        <f>Requests!C46</f>
        <v/>
      </c>
      <c r="D46" s="19">
        <f>Requests!D46</f>
        <v/>
      </c>
      <c r="E46" s="19">
        <f>Requests!M46</f>
        <v/>
      </c>
      <c r="F46" s="20">
        <f>Requests!M46-TODAY()</f>
        <v/>
      </c>
      <c r="G46" s="16">
        <f>Requests!O46</f>
        <v/>
      </c>
      <c r="H46" s="16">
        <f>IF(AND(G46&lt;&gt;"Approved",E46&lt;TODAY()),"Overdue",IF(AND(G46&lt;&gt;"Approved",E46-TODAY()&lt;=Rules!$C$26),"Due Soon","On Track"))</f>
        <v/>
      </c>
      <c r="I46" s="16">
        <f>Requests!N46</f>
        <v/>
      </c>
    </row>
    <row r="47">
      <c r="A47" s="16">
        <f>Requests!A47</f>
        <v/>
      </c>
      <c r="B47" s="16">
        <f>Requests!B47</f>
        <v/>
      </c>
      <c r="C47" s="16">
        <f>Requests!C47</f>
        <v/>
      </c>
      <c r="D47" s="19">
        <f>Requests!D47</f>
        <v/>
      </c>
      <c r="E47" s="19">
        <f>Requests!M47</f>
        <v/>
      </c>
      <c r="F47" s="20">
        <f>Requests!M47-TODAY()</f>
        <v/>
      </c>
      <c r="G47" s="16">
        <f>Requests!O47</f>
        <v/>
      </c>
      <c r="H47" s="16">
        <f>IF(AND(G47&lt;&gt;"Approved",E47&lt;TODAY()),"Overdue",IF(AND(G47&lt;&gt;"Approved",E47-TODAY()&lt;=Rules!$C$26),"Due Soon","On Track"))</f>
        <v/>
      </c>
      <c r="I47" s="16">
        <f>Requests!N47</f>
        <v/>
      </c>
    </row>
    <row r="48">
      <c r="A48" s="16">
        <f>Requests!A48</f>
        <v/>
      </c>
      <c r="B48" s="16">
        <f>Requests!B48</f>
        <v/>
      </c>
      <c r="C48" s="16">
        <f>Requests!C48</f>
        <v/>
      </c>
      <c r="D48" s="19">
        <f>Requests!D48</f>
        <v/>
      </c>
      <c r="E48" s="19">
        <f>Requests!M48</f>
        <v/>
      </c>
      <c r="F48" s="20">
        <f>Requests!M48-TODAY()</f>
        <v/>
      </c>
      <c r="G48" s="16">
        <f>Requests!O48</f>
        <v/>
      </c>
      <c r="H48" s="16">
        <f>IF(AND(G48&lt;&gt;"Approved",E48&lt;TODAY()),"Overdue",IF(AND(G48&lt;&gt;"Approved",E48-TODAY()&lt;=Rules!$C$26),"Due Soon","On Track"))</f>
        <v/>
      </c>
      <c r="I48" s="16">
        <f>Requests!N48</f>
        <v/>
      </c>
    </row>
    <row r="49">
      <c r="A49" s="16">
        <f>Requests!A49</f>
        <v/>
      </c>
      <c r="B49" s="16">
        <f>Requests!B49</f>
        <v/>
      </c>
      <c r="C49" s="16">
        <f>Requests!C49</f>
        <v/>
      </c>
      <c r="D49" s="19">
        <f>Requests!D49</f>
        <v/>
      </c>
      <c r="E49" s="19">
        <f>Requests!M49</f>
        <v/>
      </c>
      <c r="F49" s="20">
        <f>Requests!M49-TODAY()</f>
        <v/>
      </c>
      <c r="G49" s="16">
        <f>Requests!O49</f>
        <v/>
      </c>
      <c r="H49" s="16">
        <f>IF(AND(G49&lt;&gt;"Approved",E49&lt;TODAY()),"Overdue",IF(AND(G49&lt;&gt;"Approved",E49-TODAY()&lt;=Rules!$C$26),"Due Soon","On Track"))</f>
        <v/>
      </c>
      <c r="I49" s="16">
        <f>Requests!N49</f>
        <v/>
      </c>
    </row>
    <row r="50">
      <c r="A50" s="16">
        <f>Requests!A50</f>
        <v/>
      </c>
      <c r="B50" s="16">
        <f>Requests!B50</f>
        <v/>
      </c>
      <c r="C50" s="16">
        <f>Requests!C50</f>
        <v/>
      </c>
      <c r="D50" s="19">
        <f>Requests!D50</f>
        <v/>
      </c>
      <c r="E50" s="19">
        <f>Requests!M50</f>
        <v/>
      </c>
      <c r="F50" s="20">
        <f>Requests!M50-TODAY()</f>
        <v/>
      </c>
      <c r="G50" s="16">
        <f>Requests!O50</f>
        <v/>
      </c>
      <c r="H50" s="16">
        <f>IF(AND(G50&lt;&gt;"Approved",E50&lt;TODAY()),"Overdue",IF(AND(G50&lt;&gt;"Approved",E50-TODAY()&lt;=Rules!$C$26),"Due Soon","On Track"))</f>
        <v/>
      </c>
      <c r="I50" s="16">
        <f>Requests!N50</f>
        <v/>
      </c>
    </row>
    <row r="51">
      <c r="A51" s="16">
        <f>Requests!A51</f>
        <v/>
      </c>
      <c r="B51" s="16">
        <f>Requests!B51</f>
        <v/>
      </c>
      <c r="C51" s="16">
        <f>Requests!C51</f>
        <v/>
      </c>
      <c r="D51" s="19">
        <f>Requests!D51</f>
        <v/>
      </c>
      <c r="E51" s="19">
        <f>Requests!M51</f>
        <v/>
      </c>
      <c r="F51" s="20">
        <f>Requests!M51-TODAY()</f>
        <v/>
      </c>
      <c r="G51" s="16">
        <f>Requests!O51</f>
        <v/>
      </c>
      <c r="H51" s="16">
        <f>IF(AND(G51&lt;&gt;"Approved",E51&lt;TODAY()),"Overdue",IF(AND(G51&lt;&gt;"Approved",E51-TODAY()&lt;=Rules!$C$26),"Due Soon","On Track"))</f>
        <v/>
      </c>
      <c r="I51" s="16">
        <f>Requests!N51</f>
        <v/>
      </c>
    </row>
    <row r="52">
      <c r="A52" s="16">
        <f>Requests!A52</f>
        <v/>
      </c>
      <c r="B52" s="16">
        <f>Requests!B52</f>
        <v/>
      </c>
      <c r="C52" s="16">
        <f>Requests!C52</f>
        <v/>
      </c>
      <c r="D52" s="19">
        <f>Requests!D52</f>
        <v/>
      </c>
      <c r="E52" s="19">
        <f>Requests!M52</f>
        <v/>
      </c>
      <c r="F52" s="20">
        <f>Requests!M52-TODAY()</f>
        <v/>
      </c>
      <c r="G52" s="16">
        <f>Requests!O52</f>
        <v/>
      </c>
      <c r="H52" s="16">
        <f>IF(AND(G52&lt;&gt;"Approved",E52&lt;TODAY()),"Overdue",IF(AND(G52&lt;&gt;"Approved",E52-TODAY()&lt;=Rules!$C$26),"Due Soon","On Track"))</f>
        <v/>
      </c>
      <c r="I52" s="16">
        <f>Requests!N52</f>
        <v/>
      </c>
    </row>
    <row r="53">
      <c r="A53" s="16">
        <f>Requests!A53</f>
        <v/>
      </c>
      <c r="B53" s="16">
        <f>Requests!B53</f>
        <v/>
      </c>
      <c r="C53" s="16">
        <f>Requests!C53</f>
        <v/>
      </c>
      <c r="D53" s="19">
        <f>Requests!D53</f>
        <v/>
      </c>
      <c r="E53" s="19">
        <f>Requests!M53</f>
        <v/>
      </c>
      <c r="F53" s="20">
        <f>Requests!M53-TODAY()</f>
        <v/>
      </c>
      <c r="G53" s="16">
        <f>Requests!O53</f>
        <v/>
      </c>
      <c r="H53" s="16">
        <f>IF(AND(G53&lt;&gt;"Approved",E53&lt;TODAY()),"Overdue",IF(AND(G53&lt;&gt;"Approved",E53-TODAY()&lt;=Rules!$C$26),"Due Soon","On Track"))</f>
        <v/>
      </c>
      <c r="I53" s="16">
        <f>Requests!N53</f>
        <v/>
      </c>
    </row>
    <row r="54">
      <c r="A54" s="16">
        <f>Requests!A54</f>
        <v/>
      </c>
      <c r="B54" s="16">
        <f>Requests!B54</f>
        <v/>
      </c>
      <c r="C54" s="16">
        <f>Requests!C54</f>
        <v/>
      </c>
      <c r="D54" s="19">
        <f>Requests!D54</f>
        <v/>
      </c>
      <c r="E54" s="19">
        <f>Requests!M54</f>
        <v/>
      </c>
      <c r="F54" s="20">
        <f>Requests!M54-TODAY()</f>
        <v/>
      </c>
      <c r="G54" s="16">
        <f>Requests!O54</f>
        <v/>
      </c>
      <c r="H54" s="16">
        <f>IF(AND(G54&lt;&gt;"Approved",E54&lt;TODAY()),"Overdue",IF(AND(G54&lt;&gt;"Approved",E54-TODAY()&lt;=Rules!$C$26),"Due Soon","On Track"))</f>
        <v/>
      </c>
      <c r="I54" s="16">
        <f>Requests!N54</f>
        <v/>
      </c>
    </row>
    <row r="55">
      <c r="A55" s="16">
        <f>Requests!A55</f>
        <v/>
      </c>
      <c r="B55" s="16">
        <f>Requests!B55</f>
        <v/>
      </c>
      <c r="C55" s="16">
        <f>Requests!C55</f>
        <v/>
      </c>
      <c r="D55" s="19">
        <f>Requests!D55</f>
        <v/>
      </c>
      <c r="E55" s="19">
        <f>Requests!M55</f>
        <v/>
      </c>
      <c r="F55" s="20">
        <f>Requests!M55-TODAY()</f>
        <v/>
      </c>
      <c r="G55" s="16">
        <f>Requests!O55</f>
        <v/>
      </c>
      <c r="H55" s="16">
        <f>IF(AND(G55&lt;&gt;"Approved",E55&lt;TODAY()),"Overdue",IF(AND(G55&lt;&gt;"Approved",E55-TODAY()&lt;=Rules!$C$26),"Due Soon","On Track"))</f>
        <v/>
      </c>
      <c r="I55" s="16">
        <f>Requests!N55</f>
        <v/>
      </c>
    </row>
    <row r="56">
      <c r="A56" s="16">
        <f>Requests!A56</f>
        <v/>
      </c>
      <c r="B56" s="16">
        <f>Requests!B56</f>
        <v/>
      </c>
      <c r="C56" s="16">
        <f>Requests!C56</f>
        <v/>
      </c>
      <c r="D56" s="19">
        <f>Requests!D56</f>
        <v/>
      </c>
      <c r="E56" s="19">
        <f>Requests!M56</f>
        <v/>
      </c>
      <c r="F56" s="20">
        <f>Requests!M56-TODAY()</f>
        <v/>
      </c>
      <c r="G56" s="16">
        <f>Requests!O56</f>
        <v/>
      </c>
      <c r="H56" s="16">
        <f>IF(AND(G56&lt;&gt;"Approved",E56&lt;TODAY()),"Overdue",IF(AND(G56&lt;&gt;"Approved",E56-TODAY()&lt;=Rules!$C$26),"Due Soon","On Track"))</f>
        <v/>
      </c>
      <c r="I56" s="16">
        <f>Requests!N56</f>
        <v/>
      </c>
    </row>
    <row r="57">
      <c r="A57" s="16">
        <f>Requests!A57</f>
        <v/>
      </c>
      <c r="B57" s="16">
        <f>Requests!B57</f>
        <v/>
      </c>
      <c r="C57" s="16">
        <f>Requests!C57</f>
        <v/>
      </c>
      <c r="D57" s="19">
        <f>Requests!D57</f>
        <v/>
      </c>
      <c r="E57" s="19">
        <f>Requests!M57</f>
        <v/>
      </c>
      <c r="F57" s="20">
        <f>Requests!M57-TODAY()</f>
        <v/>
      </c>
      <c r="G57" s="16">
        <f>Requests!O57</f>
        <v/>
      </c>
      <c r="H57" s="16">
        <f>IF(AND(G57&lt;&gt;"Approved",E57&lt;TODAY()),"Overdue",IF(AND(G57&lt;&gt;"Approved",E57-TODAY()&lt;=Rules!$C$26),"Due Soon","On Track"))</f>
        <v/>
      </c>
      <c r="I57" s="16">
        <f>Requests!N57</f>
        <v/>
      </c>
    </row>
    <row r="58">
      <c r="A58" s="16">
        <f>Requests!A58</f>
        <v/>
      </c>
      <c r="B58" s="16">
        <f>Requests!B58</f>
        <v/>
      </c>
      <c r="C58" s="16">
        <f>Requests!C58</f>
        <v/>
      </c>
      <c r="D58" s="19">
        <f>Requests!D58</f>
        <v/>
      </c>
      <c r="E58" s="19">
        <f>Requests!M58</f>
        <v/>
      </c>
      <c r="F58" s="20">
        <f>Requests!M58-TODAY()</f>
        <v/>
      </c>
      <c r="G58" s="16">
        <f>Requests!O58</f>
        <v/>
      </c>
      <c r="H58" s="16">
        <f>IF(AND(G58&lt;&gt;"Approved",E58&lt;TODAY()),"Overdue",IF(AND(G58&lt;&gt;"Approved",E58-TODAY()&lt;=Rules!$C$26),"Due Soon","On Track"))</f>
        <v/>
      </c>
      <c r="I58" s="16">
        <f>Requests!N58</f>
        <v/>
      </c>
    </row>
    <row r="59">
      <c r="A59" s="16">
        <f>Requests!A59</f>
        <v/>
      </c>
      <c r="B59" s="16">
        <f>Requests!B59</f>
        <v/>
      </c>
      <c r="C59" s="16">
        <f>Requests!C59</f>
        <v/>
      </c>
      <c r="D59" s="19">
        <f>Requests!D59</f>
        <v/>
      </c>
      <c r="E59" s="19">
        <f>Requests!M59</f>
        <v/>
      </c>
      <c r="F59" s="20">
        <f>Requests!M59-TODAY()</f>
        <v/>
      </c>
      <c r="G59" s="16">
        <f>Requests!O59</f>
        <v/>
      </c>
      <c r="H59" s="16">
        <f>IF(AND(G59&lt;&gt;"Approved",E59&lt;TODAY()),"Overdue",IF(AND(G59&lt;&gt;"Approved",E59-TODAY()&lt;=Rules!$C$26),"Due Soon","On Track"))</f>
        <v/>
      </c>
      <c r="I59" s="16">
        <f>Requests!N59</f>
        <v/>
      </c>
    </row>
    <row r="60">
      <c r="A60" s="16">
        <f>Requests!A60</f>
        <v/>
      </c>
      <c r="B60" s="16">
        <f>Requests!B60</f>
        <v/>
      </c>
      <c r="C60" s="16">
        <f>Requests!C60</f>
        <v/>
      </c>
      <c r="D60" s="19">
        <f>Requests!D60</f>
        <v/>
      </c>
      <c r="E60" s="19">
        <f>Requests!M60</f>
        <v/>
      </c>
      <c r="F60" s="20">
        <f>Requests!M60-TODAY()</f>
        <v/>
      </c>
      <c r="G60" s="16">
        <f>Requests!O60</f>
        <v/>
      </c>
      <c r="H60" s="16">
        <f>IF(AND(G60&lt;&gt;"Approved",E60&lt;TODAY()),"Overdue",IF(AND(G60&lt;&gt;"Approved",E60-TODAY()&lt;=Rules!$C$26),"Due Soon","On Track"))</f>
        <v/>
      </c>
      <c r="I60" s="16">
        <f>Requests!N60</f>
        <v/>
      </c>
    </row>
    <row r="61">
      <c r="A61" s="16">
        <f>Requests!A61</f>
        <v/>
      </c>
      <c r="B61" s="16">
        <f>Requests!B61</f>
        <v/>
      </c>
      <c r="C61" s="16">
        <f>Requests!C61</f>
        <v/>
      </c>
      <c r="D61" s="19">
        <f>Requests!D61</f>
        <v/>
      </c>
      <c r="E61" s="19">
        <f>Requests!M61</f>
        <v/>
      </c>
      <c r="F61" s="20">
        <f>Requests!M61-TODAY()</f>
        <v/>
      </c>
      <c r="G61" s="16">
        <f>Requests!O61</f>
        <v/>
      </c>
      <c r="H61" s="16">
        <f>IF(AND(G61&lt;&gt;"Approved",E61&lt;TODAY()),"Overdue",IF(AND(G61&lt;&gt;"Approved",E61-TODAY()&lt;=Rules!$C$26),"Due Soon","On Track"))</f>
        <v/>
      </c>
      <c r="I61" s="16">
        <f>Requests!N61</f>
        <v/>
      </c>
    </row>
    <row r="62">
      <c r="A62" s="16">
        <f>Requests!A62</f>
        <v/>
      </c>
      <c r="B62" s="16">
        <f>Requests!B62</f>
        <v/>
      </c>
      <c r="C62" s="16">
        <f>Requests!C62</f>
        <v/>
      </c>
      <c r="D62" s="19">
        <f>Requests!D62</f>
        <v/>
      </c>
      <c r="E62" s="19">
        <f>Requests!M62</f>
        <v/>
      </c>
      <c r="F62" s="20">
        <f>Requests!M62-TODAY()</f>
        <v/>
      </c>
      <c r="G62" s="16">
        <f>Requests!O62</f>
        <v/>
      </c>
      <c r="H62" s="16">
        <f>IF(AND(G62&lt;&gt;"Approved",E62&lt;TODAY()),"Overdue",IF(AND(G62&lt;&gt;"Approved",E62-TODAY()&lt;=Rules!$C$26),"Due Soon","On Track"))</f>
        <v/>
      </c>
      <c r="I62" s="16">
        <f>Requests!N62</f>
        <v/>
      </c>
    </row>
    <row r="63">
      <c r="A63" s="16">
        <f>Requests!A63</f>
        <v/>
      </c>
      <c r="B63" s="16">
        <f>Requests!B63</f>
        <v/>
      </c>
      <c r="C63" s="16">
        <f>Requests!C63</f>
        <v/>
      </c>
      <c r="D63" s="19">
        <f>Requests!D63</f>
        <v/>
      </c>
      <c r="E63" s="19">
        <f>Requests!M63</f>
        <v/>
      </c>
      <c r="F63" s="20">
        <f>Requests!M63-TODAY()</f>
        <v/>
      </c>
      <c r="G63" s="16">
        <f>Requests!O63</f>
        <v/>
      </c>
      <c r="H63" s="16">
        <f>IF(AND(G63&lt;&gt;"Approved",E63&lt;TODAY()),"Overdue",IF(AND(G63&lt;&gt;"Approved",E63-TODAY()&lt;=Rules!$C$26),"Due Soon","On Track"))</f>
        <v/>
      </c>
      <c r="I63" s="16">
        <f>Requests!N63</f>
        <v/>
      </c>
    </row>
    <row r="64">
      <c r="A64" s="16">
        <f>Requests!A64</f>
        <v/>
      </c>
      <c r="B64" s="16">
        <f>Requests!B64</f>
        <v/>
      </c>
      <c r="C64" s="16">
        <f>Requests!C64</f>
        <v/>
      </c>
      <c r="D64" s="19">
        <f>Requests!D64</f>
        <v/>
      </c>
      <c r="E64" s="19">
        <f>Requests!M64</f>
        <v/>
      </c>
      <c r="F64" s="20">
        <f>Requests!M64-TODAY()</f>
        <v/>
      </c>
      <c r="G64" s="16">
        <f>Requests!O64</f>
        <v/>
      </c>
      <c r="H64" s="16">
        <f>IF(AND(G64&lt;&gt;"Approved",E64&lt;TODAY()),"Overdue",IF(AND(G64&lt;&gt;"Approved",E64-TODAY()&lt;=Rules!$C$26),"Due Soon","On Track"))</f>
        <v/>
      </c>
      <c r="I64" s="16">
        <f>Requests!N64</f>
        <v/>
      </c>
    </row>
    <row r="65">
      <c r="A65" s="16">
        <f>Requests!A65</f>
        <v/>
      </c>
      <c r="B65" s="16">
        <f>Requests!B65</f>
        <v/>
      </c>
      <c r="C65" s="16">
        <f>Requests!C65</f>
        <v/>
      </c>
      <c r="D65" s="19">
        <f>Requests!D65</f>
        <v/>
      </c>
      <c r="E65" s="19">
        <f>Requests!M65</f>
        <v/>
      </c>
      <c r="F65" s="20">
        <f>Requests!M65-TODAY()</f>
        <v/>
      </c>
      <c r="G65" s="16">
        <f>Requests!O65</f>
        <v/>
      </c>
      <c r="H65" s="16">
        <f>IF(AND(G65&lt;&gt;"Approved",E65&lt;TODAY()),"Overdue",IF(AND(G65&lt;&gt;"Approved",E65-TODAY()&lt;=Rules!$C$26),"Due Soon","On Track"))</f>
        <v/>
      </c>
      <c r="I65" s="16">
        <f>Requests!N65</f>
        <v/>
      </c>
    </row>
    <row r="66">
      <c r="A66" s="16">
        <f>Requests!A66</f>
        <v/>
      </c>
      <c r="B66" s="16">
        <f>Requests!B66</f>
        <v/>
      </c>
      <c r="C66" s="16">
        <f>Requests!C66</f>
        <v/>
      </c>
      <c r="D66" s="19">
        <f>Requests!D66</f>
        <v/>
      </c>
      <c r="E66" s="19">
        <f>Requests!M66</f>
        <v/>
      </c>
      <c r="F66" s="20">
        <f>Requests!M66-TODAY()</f>
        <v/>
      </c>
      <c r="G66" s="16">
        <f>Requests!O66</f>
        <v/>
      </c>
      <c r="H66" s="16">
        <f>IF(AND(G66&lt;&gt;"Approved",E66&lt;TODAY()),"Overdue",IF(AND(G66&lt;&gt;"Approved",E66-TODAY()&lt;=Rules!$C$26),"Due Soon","On Track"))</f>
        <v/>
      </c>
      <c r="I66" s="16">
        <f>Requests!N66</f>
        <v/>
      </c>
    </row>
    <row r="67">
      <c r="A67" s="16">
        <f>Requests!A67</f>
        <v/>
      </c>
      <c r="B67" s="16">
        <f>Requests!B67</f>
        <v/>
      </c>
      <c r="C67" s="16">
        <f>Requests!C67</f>
        <v/>
      </c>
      <c r="D67" s="19">
        <f>Requests!D67</f>
        <v/>
      </c>
      <c r="E67" s="19">
        <f>Requests!M67</f>
        <v/>
      </c>
      <c r="F67" s="20">
        <f>Requests!M67-TODAY()</f>
        <v/>
      </c>
      <c r="G67" s="16">
        <f>Requests!O67</f>
        <v/>
      </c>
      <c r="H67" s="16">
        <f>IF(AND(G67&lt;&gt;"Approved",E67&lt;TODAY()),"Overdue",IF(AND(G67&lt;&gt;"Approved",E67-TODAY()&lt;=Rules!$C$26),"Due Soon","On Track"))</f>
        <v/>
      </c>
      <c r="I67" s="16">
        <f>Requests!N67</f>
        <v/>
      </c>
    </row>
    <row r="68">
      <c r="A68" s="16">
        <f>Requests!A68</f>
        <v/>
      </c>
      <c r="B68" s="16">
        <f>Requests!B68</f>
        <v/>
      </c>
      <c r="C68" s="16">
        <f>Requests!C68</f>
        <v/>
      </c>
      <c r="D68" s="19">
        <f>Requests!D68</f>
        <v/>
      </c>
      <c r="E68" s="19">
        <f>Requests!M68</f>
        <v/>
      </c>
      <c r="F68" s="20">
        <f>Requests!M68-TODAY()</f>
        <v/>
      </c>
      <c r="G68" s="16">
        <f>Requests!O68</f>
        <v/>
      </c>
      <c r="H68" s="16">
        <f>IF(AND(G68&lt;&gt;"Approved",E68&lt;TODAY()),"Overdue",IF(AND(G68&lt;&gt;"Approved",E68-TODAY()&lt;=Rules!$C$26),"Due Soon","On Track"))</f>
        <v/>
      </c>
      <c r="I68" s="16">
        <f>Requests!N68</f>
        <v/>
      </c>
    </row>
    <row r="69">
      <c r="A69" s="16">
        <f>Requests!A69</f>
        <v/>
      </c>
      <c r="B69" s="16">
        <f>Requests!B69</f>
        <v/>
      </c>
      <c r="C69" s="16">
        <f>Requests!C69</f>
        <v/>
      </c>
      <c r="D69" s="19">
        <f>Requests!D69</f>
        <v/>
      </c>
      <c r="E69" s="19">
        <f>Requests!M69</f>
        <v/>
      </c>
      <c r="F69" s="20">
        <f>Requests!M69-TODAY()</f>
        <v/>
      </c>
      <c r="G69" s="16">
        <f>Requests!O69</f>
        <v/>
      </c>
      <c r="H69" s="16">
        <f>IF(AND(G69&lt;&gt;"Approved",E69&lt;TODAY()),"Overdue",IF(AND(G69&lt;&gt;"Approved",E69-TODAY()&lt;=Rules!$C$26),"Due Soon","On Track"))</f>
        <v/>
      </c>
      <c r="I69" s="16">
        <f>Requests!N69</f>
        <v/>
      </c>
    </row>
    <row r="70">
      <c r="A70" s="16">
        <f>Requests!A70</f>
        <v/>
      </c>
      <c r="B70" s="16">
        <f>Requests!B70</f>
        <v/>
      </c>
      <c r="C70" s="16">
        <f>Requests!C70</f>
        <v/>
      </c>
      <c r="D70" s="19">
        <f>Requests!D70</f>
        <v/>
      </c>
      <c r="E70" s="19">
        <f>Requests!M70</f>
        <v/>
      </c>
      <c r="F70" s="20">
        <f>Requests!M70-TODAY()</f>
        <v/>
      </c>
      <c r="G70" s="16">
        <f>Requests!O70</f>
        <v/>
      </c>
      <c r="H70" s="16">
        <f>IF(AND(G70&lt;&gt;"Approved",E70&lt;TODAY()),"Overdue",IF(AND(G70&lt;&gt;"Approved",E70-TODAY()&lt;=Rules!$C$26),"Due Soon","On Track"))</f>
        <v/>
      </c>
      <c r="I70" s="16">
        <f>Requests!N70</f>
        <v/>
      </c>
    </row>
    <row r="71">
      <c r="A71" s="16">
        <f>Requests!A71</f>
        <v/>
      </c>
      <c r="B71" s="16">
        <f>Requests!B71</f>
        <v/>
      </c>
      <c r="C71" s="16">
        <f>Requests!C71</f>
        <v/>
      </c>
      <c r="D71" s="19">
        <f>Requests!D71</f>
        <v/>
      </c>
      <c r="E71" s="19">
        <f>Requests!M71</f>
        <v/>
      </c>
      <c r="F71" s="20">
        <f>Requests!M71-TODAY()</f>
        <v/>
      </c>
      <c r="G71" s="16">
        <f>Requests!O71</f>
        <v/>
      </c>
      <c r="H71" s="16">
        <f>IF(AND(G71&lt;&gt;"Approved",E71&lt;TODAY()),"Overdue",IF(AND(G71&lt;&gt;"Approved",E71-TODAY()&lt;=Rules!$C$26),"Due Soon","On Track"))</f>
        <v/>
      </c>
      <c r="I71" s="16">
        <f>Requests!N71</f>
        <v/>
      </c>
    </row>
    <row r="72">
      <c r="A72" s="16">
        <f>Requests!A72</f>
        <v/>
      </c>
      <c r="B72" s="16">
        <f>Requests!B72</f>
        <v/>
      </c>
      <c r="C72" s="16">
        <f>Requests!C72</f>
        <v/>
      </c>
      <c r="D72" s="19">
        <f>Requests!D72</f>
        <v/>
      </c>
      <c r="E72" s="19">
        <f>Requests!M72</f>
        <v/>
      </c>
      <c r="F72" s="20">
        <f>Requests!M72-TODAY()</f>
        <v/>
      </c>
      <c r="G72" s="16">
        <f>Requests!O72</f>
        <v/>
      </c>
      <c r="H72" s="16">
        <f>IF(AND(G72&lt;&gt;"Approved",E72&lt;TODAY()),"Overdue",IF(AND(G72&lt;&gt;"Approved",E72-TODAY()&lt;=Rules!$C$26),"Due Soon","On Track"))</f>
        <v/>
      </c>
      <c r="I72" s="16">
        <f>Requests!N72</f>
        <v/>
      </c>
    </row>
    <row r="73">
      <c r="A73" s="16">
        <f>Requests!A73</f>
        <v/>
      </c>
      <c r="B73" s="16">
        <f>Requests!B73</f>
        <v/>
      </c>
      <c r="C73" s="16">
        <f>Requests!C73</f>
        <v/>
      </c>
      <c r="D73" s="19">
        <f>Requests!D73</f>
        <v/>
      </c>
      <c r="E73" s="19">
        <f>Requests!M73</f>
        <v/>
      </c>
      <c r="F73" s="20">
        <f>Requests!M73-TODAY()</f>
        <v/>
      </c>
      <c r="G73" s="16">
        <f>Requests!O73</f>
        <v/>
      </c>
      <c r="H73" s="16">
        <f>IF(AND(G73&lt;&gt;"Approved",E73&lt;TODAY()),"Overdue",IF(AND(G73&lt;&gt;"Approved",E73-TODAY()&lt;=Rules!$C$26),"Due Soon","On Track"))</f>
        <v/>
      </c>
      <c r="I73" s="16">
        <f>Requests!N73</f>
        <v/>
      </c>
    </row>
    <row r="74">
      <c r="A74" s="16">
        <f>Requests!A74</f>
        <v/>
      </c>
      <c r="B74" s="16">
        <f>Requests!B74</f>
        <v/>
      </c>
      <c r="C74" s="16">
        <f>Requests!C74</f>
        <v/>
      </c>
      <c r="D74" s="19">
        <f>Requests!D74</f>
        <v/>
      </c>
      <c r="E74" s="19">
        <f>Requests!M74</f>
        <v/>
      </c>
      <c r="F74" s="20">
        <f>Requests!M74-TODAY()</f>
        <v/>
      </c>
      <c r="G74" s="16">
        <f>Requests!O74</f>
        <v/>
      </c>
      <c r="H74" s="16">
        <f>IF(AND(G74&lt;&gt;"Approved",E74&lt;TODAY()),"Overdue",IF(AND(G74&lt;&gt;"Approved",E74-TODAY()&lt;=Rules!$C$26),"Due Soon","On Track"))</f>
        <v/>
      </c>
      <c r="I74" s="16">
        <f>Requests!N74</f>
        <v/>
      </c>
    </row>
    <row r="75">
      <c r="A75" s="16">
        <f>Requests!A75</f>
        <v/>
      </c>
      <c r="B75" s="16">
        <f>Requests!B75</f>
        <v/>
      </c>
      <c r="C75" s="16">
        <f>Requests!C75</f>
        <v/>
      </c>
      <c r="D75" s="19">
        <f>Requests!D75</f>
        <v/>
      </c>
      <c r="E75" s="19">
        <f>Requests!M75</f>
        <v/>
      </c>
      <c r="F75" s="20">
        <f>Requests!M75-TODAY()</f>
        <v/>
      </c>
      <c r="G75" s="16">
        <f>Requests!O75</f>
        <v/>
      </c>
      <c r="H75" s="16">
        <f>IF(AND(G75&lt;&gt;"Approved",E75&lt;TODAY()),"Overdue",IF(AND(G75&lt;&gt;"Approved",E75-TODAY()&lt;=Rules!$C$26),"Due Soon","On Track"))</f>
        <v/>
      </c>
      <c r="I75" s="16">
        <f>Requests!N75</f>
        <v/>
      </c>
    </row>
    <row r="76">
      <c r="A76" s="16">
        <f>Requests!A76</f>
        <v/>
      </c>
      <c r="B76" s="16">
        <f>Requests!B76</f>
        <v/>
      </c>
      <c r="C76" s="16">
        <f>Requests!C76</f>
        <v/>
      </c>
      <c r="D76" s="19">
        <f>Requests!D76</f>
        <v/>
      </c>
      <c r="E76" s="19">
        <f>Requests!M76</f>
        <v/>
      </c>
      <c r="F76" s="20">
        <f>Requests!M76-TODAY()</f>
        <v/>
      </c>
      <c r="G76" s="16">
        <f>Requests!O76</f>
        <v/>
      </c>
      <c r="H76" s="16">
        <f>IF(AND(G76&lt;&gt;"Approved",E76&lt;TODAY()),"Overdue",IF(AND(G76&lt;&gt;"Approved",E76-TODAY()&lt;=Rules!$C$26),"Due Soon","On Track"))</f>
        <v/>
      </c>
      <c r="I76" s="16">
        <f>Requests!N76</f>
        <v/>
      </c>
    </row>
    <row r="77">
      <c r="A77" s="16">
        <f>Requests!A77</f>
        <v/>
      </c>
      <c r="B77" s="16">
        <f>Requests!B77</f>
        <v/>
      </c>
      <c r="C77" s="16">
        <f>Requests!C77</f>
        <v/>
      </c>
      <c r="D77" s="19">
        <f>Requests!D77</f>
        <v/>
      </c>
      <c r="E77" s="19">
        <f>Requests!M77</f>
        <v/>
      </c>
      <c r="F77" s="20">
        <f>Requests!M77-TODAY()</f>
        <v/>
      </c>
      <c r="G77" s="16">
        <f>Requests!O77</f>
        <v/>
      </c>
      <c r="H77" s="16">
        <f>IF(AND(G77&lt;&gt;"Approved",E77&lt;TODAY()),"Overdue",IF(AND(G77&lt;&gt;"Approved",E77-TODAY()&lt;=Rules!$C$26),"Due Soon","On Track"))</f>
        <v/>
      </c>
      <c r="I77" s="16">
        <f>Requests!N77</f>
        <v/>
      </c>
    </row>
    <row r="78">
      <c r="A78" s="16">
        <f>Requests!A78</f>
        <v/>
      </c>
      <c r="B78" s="16">
        <f>Requests!B78</f>
        <v/>
      </c>
      <c r="C78" s="16">
        <f>Requests!C78</f>
        <v/>
      </c>
      <c r="D78" s="19">
        <f>Requests!D78</f>
        <v/>
      </c>
      <c r="E78" s="19">
        <f>Requests!M78</f>
        <v/>
      </c>
      <c r="F78" s="20">
        <f>Requests!M78-TODAY()</f>
        <v/>
      </c>
      <c r="G78" s="16">
        <f>Requests!O78</f>
        <v/>
      </c>
      <c r="H78" s="16">
        <f>IF(AND(G78&lt;&gt;"Approved",E78&lt;TODAY()),"Overdue",IF(AND(G78&lt;&gt;"Approved",E78-TODAY()&lt;=Rules!$C$26),"Due Soon","On Track"))</f>
        <v/>
      </c>
      <c r="I78" s="16">
        <f>Requests!N78</f>
        <v/>
      </c>
    </row>
    <row r="79">
      <c r="A79" s="16">
        <f>Requests!A79</f>
        <v/>
      </c>
      <c r="B79" s="16">
        <f>Requests!B79</f>
        <v/>
      </c>
      <c r="C79" s="16">
        <f>Requests!C79</f>
        <v/>
      </c>
      <c r="D79" s="19">
        <f>Requests!D79</f>
        <v/>
      </c>
      <c r="E79" s="19">
        <f>Requests!M79</f>
        <v/>
      </c>
      <c r="F79" s="20">
        <f>Requests!M79-TODAY()</f>
        <v/>
      </c>
      <c r="G79" s="16">
        <f>Requests!O79</f>
        <v/>
      </c>
      <c r="H79" s="16">
        <f>IF(AND(G79&lt;&gt;"Approved",E79&lt;TODAY()),"Overdue",IF(AND(G79&lt;&gt;"Approved",E79-TODAY()&lt;=Rules!$C$26),"Due Soon","On Track"))</f>
        <v/>
      </c>
      <c r="I79" s="16">
        <f>Requests!N79</f>
        <v/>
      </c>
    </row>
    <row r="80">
      <c r="A80" s="16">
        <f>Requests!A80</f>
        <v/>
      </c>
      <c r="B80" s="16">
        <f>Requests!B80</f>
        <v/>
      </c>
      <c r="C80" s="16">
        <f>Requests!C80</f>
        <v/>
      </c>
      <c r="D80" s="19">
        <f>Requests!D80</f>
        <v/>
      </c>
      <c r="E80" s="19">
        <f>Requests!M80</f>
        <v/>
      </c>
      <c r="F80" s="20">
        <f>Requests!M80-TODAY()</f>
        <v/>
      </c>
      <c r="G80" s="16">
        <f>Requests!O80</f>
        <v/>
      </c>
      <c r="H80" s="16">
        <f>IF(AND(G80&lt;&gt;"Approved",E80&lt;TODAY()),"Overdue",IF(AND(G80&lt;&gt;"Approved",E80-TODAY()&lt;=Rules!$C$26),"Due Soon","On Track"))</f>
        <v/>
      </c>
      <c r="I80" s="16">
        <f>Requests!N80</f>
        <v/>
      </c>
    </row>
    <row r="81">
      <c r="A81" s="16">
        <f>Requests!A81</f>
        <v/>
      </c>
      <c r="B81" s="16">
        <f>Requests!B81</f>
        <v/>
      </c>
      <c r="C81" s="16">
        <f>Requests!C81</f>
        <v/>
      </c>
      <c r="D81" s="19">
        <f>Requests!D81</f>
        <v/>
      </c>
      <c r="E81" s="19">
        <f>Requests!M81</f>
        <v/>
      </c>
      <c r="F81" s="20">
        <f>Requests!M81-TODAY()</f>
        <v/>
      </c>
      <c r="G81" s="16">
        <f>Requests!O81</f>
        <v/>
      </c>
      <c r="H81" s="16">
        <f>IF(AND(G81&lt;&gt;"Approved",E81&lt;TODAY()),"Overdue",IF(AND(G81&lt;&gt;"Approved",E81-TODAY()&lt;=Rules!$C$26),"Due Soon","On Track"))</f>
        <v/>
      </c>
      <c r="I81" s="16">
        <f>Requests!N81</f>
        <v/>
      </c>
    </row>
    <row r="82">
      <c r="A82" s="16">
        <f>Requests!A82</f>
        <v/>
      </c>
      <c r="B82" s="16">
        <f>Requests!B82</f>
        <v/>
      </c>
      <c r="C82" s="16">
        <f>Requests!C82</f>
        <v/>
      </c>
      <c r="D82" s="19">
        <f>Requests!D82</f>
        <v/>
      </c>
      <c r="E82" s="19">
        <f>Requests!M82</f>
        <v/>
      </c>
      <c r="F82" s="20">
        <f>Requests!M82-TODAY()</f>
        <v/>
      </c>
      <c r="G82" s="16">
        <f>Requests!O82</f>
        <v/>
      </c>
      <c r="H82" s="16">
        <f>IF(AND(G82&lt;&gt;"Approved",E82&lt;TODAY()),"Overdue",IF(AND(G82&lt;&gt;"Approved",E82-TODAY()&lt;=Rules!$C$26),"Due Soon","On Track"))</f>
        <v/>
      </c>
      <c r="I82" s="16">
        <f>Requests!N82</f>
        <v/>
      </c>
    </row>
    <row r="83">
      <c r="A83" s="16">
        <f>Requests!A83</f>
        <v/>
      </c>
      <c r="B83" s="16">
        <f>Requests!B83</f>
        <v/>
      </c>
      <c r="C83" s="16">
        <f>Requests!C83</f>
        <v/>
      </c>
      <c r="D83" s="19">
        <f>Requests!D83</f>
        <v/>
      </c>
      <c r="E83" s="19">
        <f>Requests!M83</f>
        <v/>
      </c>
      <c r="F83" s="20">
        <f>Requests!M83-TODAY()</f>
        <v/>
      </c>
      <c r="G83" s="16">
        <f>Requests!O83</f>
        <v/>
      </c>
      <c r="H83" s="16">
        <f>IF(AND(G83&lt;&gt;"Approved",E83&lt;TODAY()),"Overdue",IF(AND(G83&lt;&gt;"Approved",E83-TODAY()&lt;=Rules!$C$26),"Due Soon","On Track"))</f>
        <v/>
      </c>
      <c r="I83" s="16">
        <f>Requests!N83</f>
        <v/>
      </c>
    </row>
    <row r="84">
      <c r="A84" s="16">
        <f>Requests!A84</f>
        <v/>
      </c>
      <c r="B84" s="16">
        <f>Requests!B84</f>
        <v/>
      </c>
      <c r="C84" s="16">
        <f>Requests!C84</f>
        <v/>
      </c>
      <c r="D84" s="19">
        <f>Requests!D84</f>
        <v/>
      </c>
      <c r="E84" s="19">
        <f>Requests!M84</f>
        <v/>
      </c>
      <c r="F84" s="20">
        <f>Requests!M84-TODAY()</f>
        <v/>
      </c>
      <c r="G84" s="16">
        <f>Requests!O84</f>
        <v/>
      </c>
      <c r="H84" s="16">
        <f>IF(AND(G84&lt;&gt;"Approved",E84&lt;TODAY()),"Overdue",IF(AND(G84&lt;&gt;"Approved",E84-TODAY()&lt;=Rules!$C$26),"Due Soon","On Track"))</f>
        <v/>
      </c>
      <c r="I84" s="16">
        <f>Requests!N84</f>
        <v/>
      </c>
    </row>
    <row r="85">
      <c r="A85" s="16">
        <f>Requests!A85</f>
        <v/>
      </c>
      <c r="B85" s="16">
        <f>Requests!B85</f>
        <v/>
      </c>
      <c r="C85" s="16">
        <f>Requests!C85</f>
        <v/>
      </c>
      <c r="D85" s="19">
        <f>Requests!D85</f>
        <v/>
      </c>
      <c r="E85" s="19">
        <f>Requests!M85</f>
        <v/>
      </c>
      <c r="F85" s="20">
        <f>Requests!M85-TODAY()</f>
        <v/>
      </c>
      <c r="G85" s="16">
        <f>Requests!O85</f>
        <v/>
      </c>
      <c r="H85" s="16">
        <f>IF(AND(G85&lt;&gt;"Approved",E85&lt;TODAY()),"Overdue",IF(AND(G85&lt;&gt;"Approved",E85-TODAY()&lt;=Rules!$C$26),"Due Soon","On Track"))</f>
        <v/>
      </c>
      <c r="I85" s="16">
        <f>Requests!N85</f>
        <v/>
      </c>
    </row>
    <row r="86">
      <c r="A86" s="16">
        <f>Requests!A86</f>
        <v/>
      </c>
      <c r="B86" s="16">
        <f>Requests!B86</f>
        <v/>
      </c>
      <c r="C86" s="16">
        <f>Requests!C86</f>
        <v/>
      </c>
      <c r="D86" s="19">
        <f>Requests!D86</f>
        <v/>
      </c>
      <c r="E86" s="19">
        <f>Requests!M86</f>
        <v/>
      </c>
      <c r="F86" s="20">
        <f>Requests!M86-TODAY()</f>
        <v/>
      </c>
      <c r="G86" s="16">
        <f>Requests!O86</f>
        <v/>
      </c>
      <c r="H86" s="16">
        <f>IF(AND(G86&lt;&gt;"Approved",E86&lt;TODAY()),"Overdue",IF(AND(G86&lt;&gt;"Approved",E86-TODAY()&lt;=Rules!$C$26),"Due Soon","On Track"))</f>
        <v/>
      </c>
      <c r="I86" s="16">
        <f>Requests!N86</f>
        <v/>
      </c>
    </row>
    <row r="87">
      <c r="A87" s="16">
        <f>Requests!A87</f>
        <v/>
      </c>
      <c r="B87" s="16">
        <f>Requests!B87</f>
        <v/>
      </c>
      <c r="C87" s="16">
        <f>Requests!C87</f>
        <v/>
      </c>
      <c r="D87" s="19">
        <f>Requests!D87</f>
        <v/>
      </c>
      <c r="E87" s="19">
        <f>Requests!M87</f>
        <v/>
      </c>
      <c r="F87" s="20">
        <f>Requests!M87-TODAY()</f>
        <v/>
      </c>
      <c r="G87" s="16">
        <f>Requests!O87</f>
        <v/>
      </c>
      <c r="H87" s="16">
        <f>IF(AND(G87&lt;&gt;"Approved",E87&lt;TODAY()),"Overdue",IF(AND(G87&lt;&gt;"Approved",E87-TODAY()&lt;=Rules!$C$26),"Due Soon","On Track"))</f>
        <v/>
      </c>
      <c r="I87" s="16">
        <f>Requests!N87</f>
        <v/>
      </c>
    </row>
    <row r="88">
      <c r="A88" s="16">
        <f>Requests!A88</f>
        <v/>
      </c>
      <c r="B88" s="16">
        <f>Requests!B88</f>
        <v/>
      </c>
      <c r="C88" s="16">
        <f>Requests!C88</f>
        <v/>
      </c>
      <c r="D88" s="19">
        <f>Requests!D88</f>
        <v/>
      </c>
      <c r="E88" s="19">
        <f>Requests!M88</f>
        <v/>
      </c>
      <c r="F88" s="20">
        <f>Requests!M88-TODAY()</f>
        <v/>
      </c>
      <c r="G88" s="16">
        <f>Requests!O88</f>
        <v/>
      </c>
      <c r="H88" s="16">
        <f>IF(AND(G88&lt;&gt;"Approved",E88&lt;TODAY()),"Overdue",IF(AND(G88&lt;&gt;"Approved",E88-TODAY()&lt;=Rules!$C$26),"Due Soon","On Track"))</f>
        <v/>
      </c>
      <c r="I88" s="16">
        <f>Requests!N88</f>
        <v/>
      </c>
    </row>
    <row r="89">
      <c r="A89" s="16">
        <f>Requests!A89</f>
        <v/>
      </c>
      <c r="B89" s="16">
        <f>Requests!B89</f>
        <v/>
      </c>
      <c r="C89" s="16">
        <f>Requests!C89</f>
        <v/>
      </c>
      <c r="D89" s="19">
        <f>Requests!D89</f>
        <v/>
      </c>
      <c r="E89" s="19">
        <f>Requests!M89</f>
        <v/>
      </c>
      <c r="F89" s="20">
        <f>Requests!M89-TODAY()</f>
        <v/>
      </c>
      <c r="G89" s="16">
        <f>Requests!O89</f>
        <v/>
      </c>
      <c r="H89" s="16">
        <f>IF(AND(G89&lt;&gt;"Approved",E89&lt;TODAY()),"Overdue",IF(AND(G89&lt;&gt;"Approved",E89-TODAY()&lt;=Rules!$C$26),"Due Soon","On Track"))</f>
        <v/>
      </c>
      <c r="I89" s="16">
        <f>Requests!N89</f>
        <v/>
      </c>
    </row>
    <row r="90">
      <c r="A90" s="16">
        <f>Requests!A90</f>
        <v/>
      </c>
      <c r="B90" s="16">
        <f>Requests!B90</f>
        <v/>
      </c>
      <c r="C90" s="16">
        <f>Requests!C90</f>
        <v/>
      </c>
      <c r="D90" s="19">
        <f>Requests!D90</f>
        <v/>
      </c>
      <c r="E90" s="19">
        <f>Requests!M90</f>
        <v/>
      </c>
      <c r="F90" s="20">
        <f>Requests!M90-TODAY()</f>
        <v/>
      </c>
      <c r="G90" s="16">
        <f>Requests!O90</f>
        <v/>
      </c>
      <c r="H90" s="16">
        <f>IF(AND(G90&lt;&gt;"Approved",E90&lt;TODAY()),"Overdue",IF(AND(G90&lt;&gt;"Approved",E90-TODAY()&lt;=Rules!$C$26),"Due Soon","On Track"))</f>
        <v/>
      </c>
      <c r="I90" s="16">
        <f>Requests!N90</f>
        <v/>
      </c>
    </row>
    <row r="91">
      <c r="A91" s="16">
        <f>Requests!A91</f>
        <v/>
      </c>
      <c r="B91" s="16">
        <f>Requests!B91</f>
        <v/>
      </c>
      <c r="C91" s="16">
        <f>Requests!C91</f>
        <v/>
      </c>
      <c r="D91" s="19">
        <f>Requests!D91</f>
        <v/>
      </c>
      <c r="E91" s="19">
        <f>Requests!M91</f>
        <v/>
      </c>
      <c r="F91" s="20">
        <f>Requests!M91-TODAY()</f>
        <v/>
      </c>
      <c r="G91" s="16">
        <f>Requests!O91</f>
        <v/>
      </c>
      <c r="H91" s="16">
        <f>IF(AND(G91&lt;&gt;"Approved",E91&lt;TODAY()),"Overdue",IF(AND(G91&lt;&gt;"Approved",E91-TODAY()&lt;=Rules!$C$26),"Due Soon","On Track"))</f>
        <v/>
      </c>
      <c r="I91" s="16">
        <f>Requests!N91</f>
        <v/>
      </c>
    </row>
    <row r="92">
      <c r="A92" s="16">
        <f>Requests!A92</f>
        <v/>
      </c>
      <c r="B92" s="16">
        <f>Requests!B92</f>
        <v/>
      </c>
      <c r="C92" s="16">
        <f>Requests!C92</f>
        <v/>
      </c>
      <c r="D92" s="19">
        <f>Requests!D92</f>
        <v/>
      </c>
      <c r="E92" s="19">
        <f>Requests!M92</f>
        <v/>
      </c>
      <c r="F92" s="20">
        <f>Requests!M92-TODAY()</f>
        <v/>
      </c>
      <c r="G92" s="16">
        <f>Requests!O92</f>
        <v/>
      </c>
      <c r="H92" s="16">
        <f>IF(AND(G92&lt;&gt;"Approved",E92&lt;TODAY()),"Overdue",IF(AND(G92&lt;&gt;"Approved",E92-TODAY()&lt;=Rules!$C$26),"Due Soon","On Track"))</f>
        <v/>
      </c>
      <c r="I92" s="16">
        <f>Requests!N92</f>
        <v/>
      </c>
    </row>
    <row r="93">
      <c r="A93" s="16">
        <f>Requests!A93</f>
        <v/>
      </c>
      <c r="B93" s="16">
        <f>Requests!B93</f>
        <v/>
      </c>
      <c r="C93" s="16">
        <f>Requests!C93</f>
        <v/>
      </c>
      <c r="D93" s="19">
        <f>Requests!D93</f>
        <v/>
      </c>
      <c r="E93" s="19">
        <f>Requests!M93</f>
        <v/>
      </c>
      <c r="F93" s="20">
        <f>Requests!M93-TODAY()</f>
        <v/>
      </c>
      <c r="G93" s="16">
        <f>Requests!O93</f>
        <v/>
      </c>
      <c r="H93" s="16">
        <f>IF(AND(G93&lt;&gt;"Approved",E93&lt;TODAY()),"Overdue",IF(AND(G93&lt;&gt;"Approved",E93-TODAY()&lt;=Rules!$C$26),"Due Soon","On Track"))</f>
        <v/>
      </c>
      <c r="I93" s="16">
        <f>Requests!N93</f>
        <v/>
      </c>
    </row>
    <row r="94">
      <c r="A94" s="16">
        <f>Requests!A94</f>
        <v/>
      </c>
      <c r="B94" s="16">
        <f>Requests!B94</f>
        <v/>
      </c>
      <c r="C94" s="16">
        <f>Requests!C94</f>
        <v/>
      </c>
      <c r="D94" s="19">
        <f>Requests!D94</f>
        <v/>
      </c>
      <c r="E94" s="19">
        <f>Requests!M94</f>
        <v/>
      </c>
      <c r="F94" s="20">
        <f>Requests!M94-TODAY()</f>
        <v/>
      </c>
      <c r="G94" s="16">
        <f>Requests!O94</f>
        <v/>
      </c>
      <c r="H94" s="16">
        <f>IF(AND(G94&lt;&gt;"Approved",E94&lt;TODAY()),"Overdue",IF(AND(G94&lt;&gt;"Approved",E94-TODAY()&lt;=Rules!$C$26),"Due Soon","On Track"))</f>
        <v/>
      </c>
      <c r="I94" s="16">
        <f>Requests!N94</f>
        <v/>
      </c>
    </row>
    <row r="95">
      <c r="A95" s="16">
        <f>Requests!A95</f>
        <v/>
      </c>
      <c r="B95" s="16">
        <f>Requests!B95</f>
        <v/>
      </c>
      <c r="C95" s="16">
        <f>Requests!C95</f>
        <v/>
      </c>
      <c r="D95" s="19">
        <f>Requests!D95</f>
        <v/>
      </c>
      <c r="E95" s="19">
        <f>Requests!M95</f>
        <v/>
      </c>
      <c r="F95" s="20">
        <f>Requests!M95-TODAY()</f>
        <v/>
      </c>
      <c r="G95" s="16">
        <f>Requests!O95</f>
        <v/>
      </c>
      <c r="H95" s="16">
        <f>IF(AND(G95&lt;&gt;"Approved",E95&lt;TODAY()),"Overdue",IF(AND(G95&lt;&gt;"Approved",E95-TODAY()&lt;=Rules!$C$26),"Due Soon","On Track"))</f>
        <v/>
      </c>
      <c r="I95" s="16">
        <f>Requests!N95</f>
        <v/>
      </c>
    </row>
    <row r="96">
      <c r="A96" s="16">
        <f>Requests!A96</f>
        <v/>
      </c>
      <c r="B96" s="16">
        <f>Requests!B96</f>
        <v/>
      </c>
      <c r="C96" s="16">
        <f>Requests!C96</f>
        <v/>
      </c>
      <c r="D96" s="19">
        <f>Requests!D96</f>
        <v/>
      </c>
      <c r="E96" s="19">
        <f>Requests!M96</f>
        <v/>
      </c>
      <c r="F96" s="20">
        <f>Requests!M96-TODAY()</f>
        <v/>
      </c>
      <c r="G96" s="16">
        <f>Requests!O96</f>
        <v/>
      </c>
      <c r="H96" s="16">
        <f>IF(AND(G96&lt;&gt;"Approved",E96&lt;TODAY()),"Overdue",IF(AND(G96&lt;&gt;"Approved",E96-TODAY()&lt;=Rules!$C$26),"Due Soon","On Track"))</f>
        <v/>
      </c>
      <c r="I96" s="16">
        <f>Requests!N96</f>
        <v/>
      </c>
    </row>
    <row r="97">
      <c r="A97" s="16">
        <f>Requests!A97</f>
        <v/>
      </c>
      <c r="B97" s="16">
        <f>Requests!B97</f>
        <v/>
      </c>
      <c r="C97" s="16">
        <f>Requests!C97</f>
        <v/>
      </c>
      <c r="D97" s="19">
        <f>Requests!D97</f>
        <v/>
      </c>
      <c r="E97" s="19">
        <f>Requests!M97</f>
        <v/>
      </c>
      <c r="F97" s="20">
        <f>Requests!M97-TODAY()</f>
        <v/>
      </c>
      <c r="G97" s="16">
        <f>Requests!O97</f>
        <v/>
      </c>
      <c r="H97" s="16">
        <f>IF(AND(G97&lt;&gt;"Approved",E97&lt;TODAY()),"Overdue",IF(AND(G97&lt;&gt;"Approved",E97-TODAY()&lt;=Rules!$C$26),"Due Soon","On Track"))</f>
        <v/>
      </c>
      <c r="I97" s="16">
        <f>Requests!N97</f>
        <v/>
      </c>
    </row>
    <row r="98">
      <c r="A98" s="16">
        <f>Requests!A98</f>
        <v/>
      </c>
      <c r="B98" s="16">
        <f>Requests!B98</f>
        <v/>
      </c>
      <c r="C98" s="16">
        <f>Requests!C98</f>
        <v/>
      </c>
      <c r="D98" s="19">
        <f>Requests!D98</f>
        <v/>
      </c>
      <c r="E98" s="19">
        <f>Requests!M98</f>
        <v/>
      </c>
      <c r="F98" s="20">
        <f>Requests!M98-TODAY()</f>
        <v/>
      </c>
      <c r="G98" s="16">
        <f>Requests!O98</f>
        <v/>
      </c>
      <c r="H98" s="16">
        <f>IF(AND(G98&lt;&gt;"Approved",E98&lt;TODAY()),"Overdue",IF(AND(G98&lt;&gt;"Approved",E98-TODAY()&lt;=Rules!$C$26),"Due Soon","On Track"))</f>
        <v/>
      </c>
      <c r="I98" s="16">
        <f>Requests!N98</f>
        <v/>
      </c>
    </row>
    <row r="99">
      <c r="A99" s="16">
        <f>Requests!A99</f>
        <v/>
      </c>
      <c r="B99" s="16">
        <f>Requests!B99</f>
        <v/>
      </c>
      <c r="C99" s="16">
        <f>Requests!C99</f>
        <v/>
      </c>
      <c r="D99" s="19">
        <f>Requests!D99</f>
        <v/>
      </c>
      <c r="E99" s="19">
        <f>Requests!M99</f>
        <v/>
      </c>
      <c r="F99" s="20">
        <f>Requests!M99-TODAY()</f>
        <v/>
      </c>
      <c r="G99" s="16">
        <f>Requests!O99</f>
        <v/>
      </c>
      <c r="H99" s="16">
        <f>IF(AND(G99&lt;&gt;"Approved",E99&lt;TODAY()),"Overdue",IF(AND(G99&lt;&gt;"Approved",E99-TODAY()&lt;=Rules!$C$26),"Due Soon","On Track"))</f>
        <v/>
      </c>
      <c r="I99" s="16">
        <f>Requests!N99</f>
        <v/>
      </c>
    </row>
    <row r="100">
      <c r="A100" s="16">
        <f>Requests!A100</f>
        <v/>
      </c>
      <c r="B100" s="16">
        <f>Requests!B100</f>
        <v/>
      </c>
      <c r="C100" s="16">
        <f>Requests!C100</f>
        <v/>
      </c>
      <c r="D100" s="19">
        <f>Requests!D100</f>
        <v/>
      </c>
      <c r="E100" s="19">
        <f>Requests!M100</f>
        <v/>
      </c>
      <c r="F100" s="20">
        <f>Requests!M100-TODAY()</f>
        <v/>
      </c>
      <c r="G100" s="16">
        <f>Requests!O100</f>
        <v/>
      </c>
      <c r="H100" s="16">
        <f>IF(AND(G100&lt;&gt;"Approved",E100&lt;TODAY()),"Overdue",IF(AND(G100&lt;&gt;"Approved",E100-TODAY()&lt;=Rules!$C$26),"Due Soon","On Track"))</f>
        <v/>
      </c>
      <c r="I100" s="16">
        <f>Requests!N100</f>
        <v/>
      </c>
    </row>
    <row r="101">
      <c r="A101" s="16">
        <f>Requests!A101</f>
        <v/>
      </c>
      <c r="B101" s="16">
        <f>Requests!B101</f>
        <v/>
      </c>
      <c r="C101" s="16">
        <f>Requests!C101</f>
        <v/>
      </c>
      <c r="D101" s="19">
        <f>Requests!D101</f>
        <v/>
      </c>
      <c r="E101" s="19">
        <f>Requests!M101</f>
        <v/>
      </c>
      <c r="F101" s="20">
        <f>Requests!M101-TODAY()</f>
        <v/>
      </c>
      <c r="G101" s="16">
        <f>Requests!O101</f>
        <v/>
      </c>
      <c r="H101" s="16">
        <f>IF(AND(G101&lt;&gt;"Approved",E101&lt;TODAY()),"Overdue",IF(AND(G101&lt;&gt;"Approved",E101-TODAY()&lt;=Rules!$C$26),"Due Soon","On Track"))</f>
        <v/>
      </c>
      <c r="I101" s="16">
        <f>Requests!N101</f>
        <v/>
      </c>
    </row>
  </sheetData>
  <conditionalFormatting sqref="H2:H101">
    <cfRule type="expression" priority="1" dxfId="3">
      <formula>H2="Overdue"</formula>
    </cfRule>
    <cfRule type="expression" priority="2" dxfId="4">
      <formula>H2="Due Soon"</formula>
    </cfRule>
    <cfRule type="expression" priority="3" dxfId="5">
      <formula>H2="On Track"</formula>
    </cfRule>
  </conditionalFormatting>
  <conditionalFormatting sqref="F2:F101">
    <cfRule type="cellIs" priority="4" operator="lessThan" dxfId="6">
      <formula>0</formula>
    </cfRule>
    <cfRule type="cellIs" priority="5" operator="between" dxfId="1">
      <formula>0</formula>
      <formula>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 ht="26" customHeight="1">
      <c r="A1" s="21" t="inlineStr">
        <is>
          <t>📊 CPE Analyst Desk – Dashboard</t>
        </is>
      </c>
    </row>
    <row r="2"/>
    <row r="3">
      <c r="A3" s="22" t="inlineStr">
        <is>
          <t>KEY PERFORMANCE INDICATORS</t>
        </is>
      </c>
    </row>
    <row r="4">
      <c r="A4" s="14" t="inlineStr">
        <is>
          <t>Total Submissions</t>
        </is>
      </c>
      <c r="B4" s="14" t="inlineStr">
        <is>
          <t>Approved</t>
        </is>
      </c>
      <c r="C4" s="14" t="inlineStr">
        <is>
          <t>Needs Correction</t>
        </is>
      </c>
      <c r="D4" s="14" t="inlineStr">
        <is>
          <t>Escalated</t>
        </is>
      </c>
      <c r="E4" s="14" t="inlineStr">
        <is>
          <t>Pending</t>
        </is>
      </c>
      <c r="F4" s="14" t="inlineStr">
        <is>
          <t>Overdue</t>
        </is>
      </c>
    </row>
    <row r="5" ht="44" customHeight="1">
      <c r="A5" s="23">
        <f>COUNTA(Requests!A2:A101)</f>
        <v/>
      </c>
      <c r="B5" s="24">
        <f>COUNTIF(Requests!O2:O101,"Approved")</f>
        <v/>
      </c>
      <c r="C5" s="25">
        <f>COUNTIF(Requests!O2:O101,"Needs Correction")</f>
        <v/>
      </c>
      <c r="D5" s="26">
        <f>COUNTIF(Requests!O2:O101,"Escalate")</f>
        <v/>
      </c>
      <c r="E5" s="27">
        <f>COUNTIF(Requests!O2:O101,"Pending")</f>
        <v/>
      </c>
      <c r="F5" s="28">
        <f>COUNTIF('SLA Monitor'!H2:H101,"Overdue")</f>
        <v/>
      </c>
    </row>
    <row r="6"/>
    <row r="7" ht="26" customHeight="1">
      <c r="A7" s="21" t="inlineStr">
        <is>
          <t>Requests by Status</t>
        </is>
      </c>
    </row>
    <row r="8">
      <c r="A8" s="29" t="inlineStr">
        <is>
          <t>Status</t>
        </is>
      </c>
      <c r="B8" s="29" t="inlineStr">
        <is>
          <t>Count</t>
        </is>
      </c>
      <c r="C8" s="29" t="inlineStr">
        <is>
          <t>% of Total</t>
        </is>
      </c>
    </row>
    <row r="9">
      <c r="A9" s="16" t="inlineStr">
        <is>
          <t>Approved</t>
        </is>
      </c>
      <c r="B9" s="16">
        <f>COUNTIF(Requests!O2:O101,"Approved")</f>
        <v/>
      </c>
      <c r="C9" s="30">
        <f>B9/COUNTA(Requests!A2:A101)</f>
        <v/>
      </c>
    </row>
    <row r="10">
      <c r="A10" s="16" t="inlineStr">
        <is>
          <t>Needs Correction</t>
        </is>
      </c>
      <c r="B10" s="16">
        <f>COUNTIF(Requests!O2:O101,"Needs Correction")</f>
        <v/>
      </c>
      <c r="C10" s="30">
        <f>B10/COUNTA(Requests!A2:A101)</f>
        <v/>
      </c>
    </row>
    <row r="11">
      <c r="A11" s="16" t="inlineStr">
        <is>
          <t>Escalate</t>
        </is>
      </c>
      <c r="B11" s="16">
        <f>COUNTIF(Requests!O2:O101,"Escalate")</f>
        <v/>
      </c>
      <c r="C11" s="30">
        <f>B11/COUNTA(Requests!A2:A101)</f>
        <v/>
      </c>
    </row>
    <row r="12">
      <c r="A12" s="16" t="inlineStr">
        <is>
          <t>Pending</t>
        </is>
      </c>
      <c r="B12" s="16">
        <f>COUNTIF(Requests!O2:O101,"Pending")</f>
        <v/>
      </c>
      <c r="C12" s="30">
        <f>B12/COUNTA(Requests!A2:A101)</f>
        <v/>
      </c>
    </row>
    <row r="13"/>
    <row r="14" ht="26" customHeight="1">
      <c r="A14" s="21" t="inlineStr">
        <is>
          <t>Top Rejection Reasons</t>
        </is>
      </c>
    </row>
    <row r="15">
      <c r="A15" s="29" t="inlineStr">
        <is>
          <t>Rejection Reason</t>
        </is>
      </c>
      <c r="B15" s="29" t="inlineStr">
        <is>
          <t>Count</t>
        </is>
      </c>
      <c r="C15" s="29" t="inlineStr">
        <is>
          <t>% of Non-Approved</t>
        </is>
      </c>
      <c r="D15" s="31">
        <f>COUNTIF(Requests!O2:O101,"&lt;&gt;Approved")</f>
        <v/>
      </c>
    </row>
    <row r="16">
      <c r="A16" s="16" t="inlineStr">
        <is>
          <t>Missing Learning Objectives</t>
        </is>
      </c>
      <c r="B16" s="16">
        <f>COUNTIF(Review!U2:U101,"*learning objectives*")</f>
        <v/>
      </c>
      <c r="C16" s="30">
        <f>IFERROR(B16/$D$15,0)</f>
        <v/>
      </c>
    </row>
    <row r="17">
      <c r="A17" s="16" t="inlineStr">
        <is>
          <t>Missing Attendance Checks</t>
        </is>
      </c>
      <c r="B17" s="16">
        <f>COUNTIF(Review!U2:U101,"*attendance*")</f>
        <v/>
      </c>
      <c r="C17" s="30">
        <f>IFERROR(B17/$D$15,0)</f>
        <v/>
      </c>
    </row>
    <row r="18">
      <c r="A18" s="16" t="inlineStr">
        <is>
          <t>Missing Field of Study</t>
        </is>
      </c>
      <c r="B18" s="16">
        <f>COUNTIF(Review!U2:U101,"*field of study*")</f>
        <v/>
      </c>
      <c r="C18" s="30">
        <f>IFERROR(B18/$D$15,0)</f>
        <v/>
      </c>
    </row>
    <row r="19">
      <c r="A19" s="16" t="inlineStr">
        <is>
          <t>Insufficient Review Qs</t>
        </is>
      </c>
      <c r="B19" s="16">
        <f>COUNTIF(Review!U2:U101,"*review questions*")</f>
        <v/>
      </c>
      <c r="C19" s="30">
        <f>IFERROR(B19/$D$15,0)</f>
        <v/>
      </c>
    </row>
    <row r="20">
      <c r="A20" s="16" t="inlineStr">
        <is>
          <t>Invalid Program Level</t>
        </is>
      </c>
      <c r="B20" s="16">
        <f>COUNTIF(Review!U2:U101,"*program level*")</f>
        <v/>
      </c>
      <c r="C20" s="30">
        <f>IFERROR(B20/$D$15,0)</f>
        <v/>
      </c>
    </row>
    <row r="21"/>
    <row r="22" ht="26" customHeight="1">
      <c r="A22" s="21" t="inlineStr">
        <is>
          <t>Reviewer Workload</t>
        </is>
      </c>
    </row>
    <row r="23">
      <c r="A23" s="29" t="inlineStr">
        <is>
          <t>Reviewer</t>
        </is>
      </c>
      <c r="B23" s="29" t="inlineStr">
        <is>
          <t>Assigned</t>
        </is>
      </c>
      <c r="C23" s="29" t="inlineStr">
        <is>
          <t>Approved</t>
        </is>
      </c>
      <c r="D23" s="29" t="inlineStr">
        <is>
          <t>Pending/Open</t>
        </is>
      </c>
    </row>
    <row r="24">
      <c r="A24" s="16" t="inlineStr">
        <is>
          <t>CPE Desk - Priya</t>
        </is>
      </c>
      <c r="B24" s="16">
        <f>COUNTIF(Requests!N2:N101,"CPE Desk - Priya")</f>
        <v/>
      </c>
      <c r="C24" s="16">
        <f>COUNTIFS(Requests!N2:N101,"CPE Desk - Priya",Requests!O2:O101,"Approved")</f>
        <v/>
      </c>
      <c r="D24" s="16">
        <f>B24-C24</f>
        <v/>
      </c>
    </row>
    <row r="25">
      <c r="A25" s="16" t="inlineStr">
        <is>
          <t>CPE Desk - Omar</t>
        </is>
      </c>
      <c r="B25" s="16">
        <f>COUNTIF(Requests!N2:N101,"CPE Desk - Omar")</f>
        <v/>
      </c>
      <c r="C25" s="16">
        <f>COUNTIFS(Requests!N2:N101,"CPE Desk - Omar",Requests!O2:O101,"Approved")</f>
        <v/>
      </c>
      <c r="D25" s="16">
        <f>B25-C25</f>
        <v/>
      </c>
    </row>
    <row r="26">
      <c r="A26" s="16" t="inlineStr">
        <is>
          <t>CPE Desk - Sarah</t>
        </is>
      </c>
      <c r="B26" s="16">
        <f>COUNTIF(Requests!N2:N101,"CPE Desk - Sarah")</f>
        <v/>
      </c>
      <c r="C26" s="16">
        <f>COUNTIFS(Requests!N2:N101,"CPE Desk - Sarah",Requests!O2:O101,"Approved")</f>
        <v/>
      </c>
      <c r="D26" s="16">
        <f>B26-C26</f>
        <v/>
      </c>
    </row>
    <row r="27">
      <c r="A27" s="16" t="inlineStr">
        <is>
          <t>CPE Desk - Luis</t>
        </is>
      </c>
      <c r="B27" s="16">
        <f>COUNTIF(Requests!N2:N101,"CPE Desk - Luis")</f>
        <v/>
      </c>
      <c r="C27" s="16">
        <f>COUNTIFS(Requests!N2:N101,"CPE Desk - Luis",Requests!O2:O101,"Approved")</f>
        <v/>
      </c>
      <c r="D27" s="16">
        <f>B27-C27</f>
        <v/>
      </c>
    </row>
    <row r="28"/>
    <row r="29">
      <c r="A29" s="32" t="inlineStr">
        <is>
          <t>Avg Turnaround (days, est.)</t>
        </is>
      </c>
      <c r="B29" s="33">
        <f>AVERAGEIF(Requests!O2:O101,"Approved",Requests!M2:M101)-AVERAGEIF(Requests!O2:O101,"Approved",Requests!D2:D101)</f>
        <v/>
      </c>
    </row>
  </sheetData>
  <mergeCells count="4">
    <mergeCell ref="A22:D22"/>
    <mergeCell ref="A1:J1"/>
    <mergeCell ref="A7:D7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40" customWidth="1" min="3" max="3"/>
    <col width="18" customWidth="1" min="4" max="4"/>
    <col width="19" customWidth="1" min="5" max="5"/>
    <col width="18" customWidth="1" min="6" max="6"/>
    <col width="26" customWidth="1" min="7" max="7"/>
    <col width="17" customWidth="1" min="8" max="8"/>
    <col width="19" customWidth="1" min="9" max="9"/>
    <col width="25" customWidth="1" min="10" max="10"/>
    <col width="15" customWidth="1" min="11" max="11"/>
  </cols>
  <sheetData>
    <row r="1">
      <c r="A1" s="1" t="inlineStr">
        <is>
          <t>Certificate No</t>
        </is>
      </c>
      <c r="B1" s="1" t="inlineStr">
        <is>
          <t>Learner Name</t>
        </is>
      </c>
      <c r="C1" s="1" t="inlineStr">
        <is>
          <t>Course Title</t>
        </is>
      </c>
      <c r="D1" s="1" t="inlineStr">
        <is>
          <t>Instructor</t>
        </is>
      </c>
      <c r="E1" s="1" t="inlineStr">
        <is>
          <t>Completion Date</t>
        </is>
      </c>
      <c r="F1" s="1" t="inlineStr">
        <is>
          <t>Credits Earned</t>
        </is>
      </c>
      <c r="G1" s="1" t="inlineStr">
        <is>
          <t>Field of Study</t>
        </is>
      </c>
      <c r="H1" s="1" t="inlineStr">
        <is>
          <t>Program Level</t>
        </is>
      </c>
      <c r="I1" s="1" t="inlineStr">
        <is>
          <t>Delivery Method</t>
        </is>
      </c>
      <c r="J1" s="1" t="inlineStr">
        <is>
          <t>Certificate Issued By</t>
        </is>
      </c>
      <c r="K1" s="1" t="inlineStr">
        <is>
          <t>Issue Date</t>
        </is>
      </c>
    </row>
    <row r="2">
      <c r="A2" s="34" t="inlineStr">
        <is>
          <t>This sheet auto-populates from approved rows via the macro below. For full mail-merge, link this sheet as the Word data source.</t>
        </is>
      </c>
    </row>
    <row r="3">
      <c r="A3" s="2" t="inlineStr">
        <is>
          <t>CERT-2026-001</t>
        </is>
      </c>
      <c r="B3" s="2" t="inlineStr">
        <is>
          <t>Participant – Karen's Session</t>
        </is>
      </c>
      <c r="C3" s="2" t="inlineStr">
        <is>
          <t>Mastering Blockchain in Accounting</t>
        </is>
      </c>
      <c r="D3" s="2" t="inlineStr">
        <is>
          <t>Karen Li</t>
        </is>
      </c>
      <c r="E3" s="2" t="inlineStr">
        <is>
          <t>19-Sep-2026</t>
        </is>
      </c>
      <c r="F3" s="2" t="n">
        <v>2.5</v>
      </c>
      <c r="G3" s="2" t="inlineStr">
        <is>
          <t>Economics</t>
        </is>
      </c>
      <c r="H3" s="2" t="inlineStr">
        <is>
          <t>Basic</t>
        </is>
      </c>
      <c r="I3" s="2" t="inlineStr">
        <is>
          <t>Self-study</t>
        </is>
      </c>
      <c r="J3" s="2" t="inlineStr">
        <is>
          <t>CPE Desk, Firm Name</t>
        </is>
      </c>
      <c r="K3" s="2" t="inlineStr">
        <is>
          <t>29-Oct-2026</t>
        </is>
      </c>
    </row>
    <row r="4">
      <c r="A4" s="2" t="inlineStr">
        <is>
          <t>CERT-2026-002</t>
        </is>
      </c>
      <c r="B4" s="2" t="inlineStr">
        <is>
          <t>Participant – Karen's Session</t>
        </is>
      </c>
      <c r="C4" s="2" t="inlineStr">
        <is>
          <t>Mastering Blockchain in Accounting</t>
        </is>
      </c>
      <c r="D4" s="2" t="inlineStr">
        <is>
          <t>Karen Li</t>
        </is>
      </c>
      <c r="E4" s="2" t="inlineStr">
        <is>
          <t>22-Sep-2026</t>
        </is>
      </c>
      <c r="F4" s="2" t="n">
        <v>2.5</v>
      </c>
      <c r="G4" s="2" t="inlineStr">
        <is>
          <t>Management</t>
        </is>
      </c>
      <c r="H4" s="2" t="inlineStr">
        <is>
          <t>Basic</t>
        </is>
      </c>
      <c r="I4" s="2" t="inlineStr">
        <is>
          <t>Self-study</t>
        </is>
      </c>
      <c r="J4" s="2" t="inlineStr">
        <is>
          <t>CPE Desk, Firm Name</t>
        </is>
      </c>
      <c r="K4" s="2" t="inlineStr">
        <is>
          <t>29-Oct-2026</t>
        </is>
      </c>
    </row>
    <row r="5">
      <c r="A5" s="2" t="inlineStr">
        <is>
          <t>CERT-2026-003</t>
        </is>
      </c>
      <c r="B5" s="2" t="inlineStr">
        <is>
          <t>Participant – Elena's Session</t>
        </is>
      </c>
      <c r="C5" s="2" t="inlineStr">
        <is>
          <t>Introduction to Tax Reform</t>
        </is>
      </c>
      <c r="D5" s="2" t="inlineStr">
        <is>
          <t>Elena Voss</t>
        </is>
      </c>
      <c r="E5" s="2" t="inlineStr">
        <is>
          <t>16-Oct-2026</t>
        </is>
      </c>
      <c r="F5" s="2" t="n">
        <v>3</v>
      </c>
      <c r="G5" s="2" t="inlineStr">
        <is>
          <t>Specialized Knowledge</t>
        </is>
      </c>
      <c r="H5" s="2" t="inlineStr">
        <is>
          <t>Basic</t>
        </is>
      </c>
      <c r="I5" s="2" t="inlineStr">
        <is>
          <t>Group</t>
        </is>
      </c>
      <c r="J5" s="2" t="inlineStr">
        <is>
          <t>CPE Desk, Firm Name</t>
        </is>
      </c>
      <c r="K5" s="2" t="inlineStr">
        <is>
          <t>29-Oct-2026</t>
        </is>
      </c>
    </row>
    <row r="6">
      <c r="A6" s="2" t="inlineStr">
        <is>
          <t>CERT-2026-004</t>
        </is>
      </c>
      <c r="B6" s="2" t="inlineStr">
        <is>
          <t>Participant – Olivia's Session</t>
        </is>
      </c>
      <c r="C6" s="2" t="inlineStr">
        <is>
          <t>Workshop: Data Analytics for CPAs</t>
        </is>
      </c>
      <c r="D6" s="2" t="inlineStr">
        <is>
          <t>Olivia Chen</t>
        </is>
      </c>
      <c r="E6" s="2" t="inlineStr">
        <is>
          <t>06-Sep-2026</t>
        </is>
      </c>
      <c r="F6" s="2" t="n">
        <v>1</v>
      </c>
      <c r="G6" s="2" t="inlineStr">
        <is>
          <t>Business Law</t>
        </is>
      </c>
      <c r="H6" s="2" t="inlineStr">
        <is>
          <t>Basic</t>
        </is>
      </c>
      <c r="I6" s="2" t="inlineStr">
        <is>
          <t>Self-study</t>
        </is>
      </c>
      <c r="J6" s="2" t="inlineStr">
        <is>
          <t>CPE Desk, Firm Name</t>
        </is>
      </c>
      <c r="K6" s="2" t="inlineStr">
        <is>
          <t>29-Oct-2026</t>
        </is>
      </c>
    </row>
    <row r="7">
      <c r="A7" s="2" t="inlineStr">
        <is>
          <t>CERT-2026-005</t>
        </is>
      </c>
      <c r="B7" s="2" t="inlineStr">
        <is>
          <t>Participant – Frank's Session</t>
        </is>
      </c>
      <c r="C7" s="2" t="inlineStr">
        <is>
          <t>Practical International Tax</t>
        </is>
      </c>
      <c r="D7" s="2" t="inlineStr">
        <is>
          <t>Frank Huang</t>
        </is>
      </c>
      <c r="E7" s="2" t="inlineStr">
        <is>
          <t>10-Oct-2026</t>
        </is>
      </c>
      <c r="F7" s="2" t="n">
        <v>2</v>
      </c>
      <c r="G7" s="2" t="inlineStr">
        <is>
          <t>Economics</t>
        </is>
      </c>
      <c r="H7" s="2" t="inlineStr">
        <is>
          <t>Basic</t>
        </is>
      </c>
      <c r="I7" s="2" t="inlineStr">
        <is>
          <t>Group</t>
        </is>
      </c>
      <c r="J7" s="2" t="inlineStr">
        <is>
          <t>CPE Desk, Firm Name</t>
        </is>
      </c>
      <c r="K7" s="2" t="inlineStr">
        <is>
          <t>29-Oct-2026</t>
        </is>
      </c>
    </row>
    <row r="8">
      <c r="A8" s="2" t="inlineStr">
        <is>
          <t>CERT-2026-006</t>
        </is>
      </c>
      <c r="B8" s="2" t="inlineStr">
        <is>
          <t>Participant – Frank's Session</t>
        </is>
      </c>
      <c r="C8" s="2" t="inlineStr">
        <is>
          <t>Seminar: Financial Modeling</t>
        </is>
      </c>
      <c r="D8" s="2" t="inlineStr">
        <is>
          <t>Frank Huang</t>
        </is>
      </c>
      <c r="E8" s="2" t="inlineStr">
        <is>
          <t>22-Sep-2026</t>
        </is>
      </c>
      <c r="F8" s="2" t="n">
        <v>1</v>
      </c>
      <c r="G8" s="2" t="inlineStr">
        <is>
          <t>Business Law</t>
        </is>
      </c>
      <c r="H8" s="2" t="inlineStr">
        <is>
          <t>Advanced</t>
        </is>
      </c>
      <c r="I8" s="2" t="inlineStr">
        <is>
          <t>Self-study</t>
        </is>
      </c>
      <c r="J8" s="2" t="inlineStr">
        <is>
          <t>CPE Desk, Firm Name</t>
        </is>
      </c>
      <c r="K8" s="2" t="inlineStr">
        <is>
          <t>29-Oct-2026</t>
        </is>
      </c>
    </row>
    <row r="9">
      <c r="A9" s="2" t="inlineStr">
        <is>
          <t>CERT-2026-007</t>
        </is>
      </c>
      <c r="B9" s="2" t="inlineStr">
        <is>
          <t>Participant – Rachel's Session</t>
        </is>
      </c>
      <c r="C9" s="2" t="inlineStr">
        <is>
          <t>Introduction to Blockchain in Accounting</t>
        </is>
      </c>
      <c r="D9" s="2" t="inlineStr">
        <is>
          <t>Rachel Novak</t>
        </is>
      </c>
      <c r="E9" s="2" t="inlineStr">
        <is>
          <t>20-Sep-2026</t>
        </is>
      </c>
      <c r="F9" s="2" t="n">
        <v>0</v>
      </c>
      <c r="G9" s="2" t="inlineStr">
        <is>
          <t>Auditing</t>
        </is>
      </c>
      <c r="H9" s="2" t="inlineStr">
        <is>
          <t>Advanced</t>
        </is>
      </c>
      <c r="I9" s="2" t="inlineStr">
        <is>
          <t>Group</t>
        </is>
      </c>
      <c r="J9" s="2" t="inlineStr">
        <is>
          <t>CPE Desk, Firm Name</t>
        </is>
      </c>
      <c r="K9" s="2" t="inlineStr">
        <is>
          <t>29-Oct-2026</t>
        </is>
      </c>
    </row>
    <row r="10">
      <c r="A10" s="2" t="inlineStr">
        <is>
          <t>CERT-2026-008</t>
        </is>
      </c>
      <c r="B10" s="2" t="inlineStr">
        <is>
          <t>Participant – Karen's Session</t>
        </is>
      </c>
      <c r="C10" s="2" t="inlineStr">
        <is>
          <t>Advanced Revenue Recognition</t>
        </is>
      </c>
      <c r="D10" s="2" t="inlineStr">
        <is>
          <t>Karen Li</t>
        </is>
      </c>
      <c r="E10" s="2" t="inlineStr">
        <is>
          <t>10-Sep-2026</t>
        </is>
      </c>
      <c r="F10" s="2" t="n">
        <v>1.5</v>
      </c>
      <c r="G10" s="2" t="inlineStr">
        <is>
          <t>Economics</t>
        </is>
      </c>
      <c r="H10" s="2" t="inlineStr">
        <is>
          <t>Basic</t>
        </is>
      </c>
      <c r="I10" s="2" t="inlineStr">
        <is>
          <t>Group</t>
        </is>
      </c>
      <c r="J10" s="2" t="inlineStr">
        <is>
          <t>CPE Desk, Firm Name</t>
        </is>
      </c>
      <c r="K10" s="2" t="inlineStr">
        <is>
          <t>29-Oct-2026</t>
        </is>
      </c>
    </row>
    <row r="11">
      <c r="A11" s="2" t="inlineStr">
        <is>
          <t>CERT-2026-009</t>
        </is>
      </c>
      <c r="B11" s="2" t="inlineStr">
        <is>
          <t>Participant – Ben's Session</t>
        </is>
      </c>
      <c r="C11" s="2" t="inlineStr">
        <is>
          <t>Introduction to Tax Reform</t>
        </is>
      </c>
      <c r="D11" s="2" t="inlineStr">
        <is>
          <t>Ben Tanaka</t>
        </is>
      </c>
      <c r="E11" s="2" t="inlineStr">
        <is>
          <t>01-Oct-2026</t>
        </is>
      </c>
      <c r="F11" s="2" t="n">
        <v>0.5</v>
      </c>
      <c r="G11" s="2" t="inlineStr">
        <is>
          <t>Finance</t>
        </is>
      </c>
      <c r="H11" s="2" t="inlineStr">
        <is>
          <t>Basic</t>
        </is>
      </c>
      <c r="I11" s="2" t="inlineStr">
        <is>
          <t>Self-study</t>
        </is>
      </c>
      <c r="J11" s="2" t="inlineStr">
        <is>
          <t>CPE Desk, Firm Name</t>
        </is>
      </c>
      <c r="K11" s="2" t="inlineStr">
        <is>
          <t>29-Oct-2026</t>
        </is>
      </c>
    </row>
    <row r="12">
      <c r="A12" s="2" t="inlineStr">
        <is>
          <t>CERT-2026-010</t>
        </is>
      </c>
      <c r="B12" s="2" t="inlineStr">
        <is>
          <t>Participant – Frank's Session</t>
        </is>
      </c>
      <c r="C12" s="2" t="inlineStr">
        <is>
          <t>Practical Auditing Standards</t>
        </is>
      </c>
      <c r="D12" s="2" t="inlineStr">
        <is>
          <t>Frank Huang</t>
        </is>
      </c>
      <c r="E12" s="2" t="inlineStr">
        <is>
          <t>23-Sep-2026</t>
        </is>
      </c>
      <c r="F12" s="2" t="n">
        <v>1.5</v>
      </c>
      <c r="G12" s="2" t="inlineStr">
        <is>
          <t>Auditing</t>
        </is>
      </c>
      <c r="H12" s="2" t="inlineStr">
        <is>
          <t>Intermediate</t>
        </is>
      </c>
      <c r="I12" s="2" t="inlineStr">
        <is>
          <t>Self-study</t>
        </is>
      </c>
      <c r="J12" s="2" t="inlineStr">
        <is>
          <t>CPE Desk, Firm Name</t>
        </is>
      </c>
      <c r="K12" s="2" t="inlineStr">
        <is>
          <t>29-Oct-2026</t>
        </is>
      </c>
    </row>
    <row r="13">
      <c r="A13" s="2" t="inlineStr">
        <is>
          <t>CERT-2026-011</t>
        </is>
      </c>
      <c r="B13" s="2" t="inlineStr">
        <is>
          <t>Participant – Clara's Session</t>
        </is>
      </c>
      <c r="C13" s="2" t="inlineStr">
        <is>
          <t>Foundations of GAAP Updates</t>
        </is>
      </c>
      <c r="D13" s="2" t="inlineStr">
        <is>
          <t>Clara Singh</t>
        </is>
      </c>
      <c r="E13" s="2" t="inlineStr">
        <is>
          <t>24-Oct-2026</t>
        </is>
      </c>
      <c r="F13" s="2" t="n">
        <v>1</v>
      </c>
      <c r="G13" s="2" t="inlineStr">
        <is>
          <t>Information Technology</t>
        </is>
      </c>
      <c r="H13" s="2" t="inlineStr">
        <is>
          <t>Intermediate</t>
        </is>
      </c>
      <c r="I13" s="2" t="inlineStr">
        <is>
          <t>Group</t>
        </is>
      </c>
      <c r="J13" s="2" t="inlineStr">
        <is>
          <t>CPE Desk, Firm Name</t>
        </is>
      </c>
      <c r="K13" s="2" t="inlineStr">
        <is>
          <t>29-Oct-2026</t>
        </is>
      </c>
    </row>
    <row r="14">
      <c r="A14" s="2" t="inlineStr">
        <is>
          <t>CERT-2026-012</t>
        </is>
      </c>
      <c r="B14" s="2" t="inlineStr">
        <is>
          <t>Participant – Frank's Session</t>
        </is>
      </c>
      <c r="C14" s="2" t="inlineStr">
        <is>
          <t>Workshop: Revenue Recognition</t>
        </is>
      </c>
      <c r="D14" s="2" t="inlineStr">
        <is>
          <t>Frank Huang</t>
        </is>
      </c>
      <c r="E14" s="2" t="inlineStr">
        <is>
          <t>30-Sep-2026</t>
        </is>
      </c>
      <c r="F14" s="2" t="n">
        <v>2.5</v>
      </c>
      <c r="G14" s="2" t="inlineStr">
        <is>
          <t>Ethics</t>
        </is>
      </c>
      <c r="H14" s="2" t="inlineStr">
        <is>
          <t>Intermediate</t>
        </is>
      </c>
      <c r="I14" s="2" t="inlineStr">
        <is>
          <t>Group</t>
        </is>
      </c>
      <c r="J14" s="2" t="inlineStr">
        <is>
          <t>CPE Desk, Firm Name</t>
        </is>
      </c>
      <c r="K14" s="2" t="inlineStr">
        <is>
          <t>29-Oct-2026</t>
        </is>
      </c>
    </row>
    <row r="15">
      <c r="A15" s="2" t="inlineStr">
        <is>
          <t>CERT-2026-013</t>
        </is>
      </c>
      <c r="B15" s="2" t="inlineStr">
        <is>
          <t>Participant – Elena's Session</t>
        </is>
      </c>
      <c r="C15" s="2" t="inlineStr">
        <is>
          <t>Foundations of SOX Compliance</t>
        </is>
      </c>
      <c r="D15" s="2" t="inlineStr">
        <is>
          <t>Elena Voss</t>
        </is>
      </c>
      <c r="E15" s="2" t="inlineStr">
        <is>
          <t>18-Sep-2026</t>
        </is>
      </c>
      <c r="F15" s="2" t="n">
        <v>1</v>
      </c>
      <c r="G15" s="2" t="inlineStr">
        <is>
          <t>Accounting</t>
        </is>
      </c>
      <c r="H15" s="2" t="inlineStr">
        <is>
          <t>Advanced</t>
        </is>
      </c>
      <c r="I15" s="2" t="inlineStr">
        <is>
          <t>Self-study</t>
        </is>
      </c>
      <c r="J15" s="2" t="inlineStr">
        <is>
          <t>CPE Desk, Firm Name</t>
        </is>
      </c>
      <c r="K15" s="2" t="inlineStr">
        <is>
          <t>29-Oct-2026</t>
        </is>
      </c>
    </row>
    <row r="16">
      <c r="A16" s="2" t="inlineStr">
        <is>
          <t>CERT-2026-014</t>
        </is>
      </c>
      <c r="B16" s="2" t="inlineStr">
        <is>
          <t>Participant – Sam's Session</t>
        </is>
      </c>
      <c r="C16" s="2" t="inlineStr">
        <is>
          <t>Introduction to Revenue Recognition</t>
        </is>
      </c>
      <c r="D16" s="2" t="inlineStr">
        <is>
          <t>Sam Adeyemi</t>
        </is>
      </c>
      <c r="E16" s="2" t="inlineStr">
        <is>
          <t>06-Oct-2026</t>
        </is>
      </c>
      <c r="F16" s="2" t="n">
        <v>0.5</v>
      </c>
      <c r="G16" s="2" t="inlineStr">
        <is>
          <t>Business Law</t>
        </is>
      </c>
      <c r="H16" s="2" t="inlineStr">
        <is>
          <t>Basic</t>
        </is>
      </c>
      <c r="I16" s="2" t="inlineStr">
        <is>
          <t>Group</t>
        </is>
      </c>
      <c r="J16" s="2" t="inlineStr">
        <is>
          <t>CPE Desk, Firm Name</t>
        </is>
      </c>
      <c r="K16" s="2" t="inlineStr">
        <is>
          <t>29-Oct-2026</t>
        </is>
      </c>
    </row>
    <row r="17">
      <c r="A17" s="2" t="inlineStr">
        <is>
          <t>CERT-2026-015</t>
        </is>
      </c>
      <c r="B17" s="2" t="inlineStr">
        <is>
          <t>Participant – Henry's Session</t>
        </is>
      </c>
      <c r="C17" s="2" t="inlineStr">
        <is>
          <t>Current Issues in Lease Accounting</t>
        </is>
      </c>
      <c r="D17" s="2" t="inlineStr">
        <is>
          <t>Henry Reyes</t>
        </is>
      </c>
      <c r="E17" s="2" t="inlineStr">
        <is>
          <t>01-Oct-2026</t>
        </is>
      </c>
      <c r="F17" s="2" t="n">
        <v>1.5</v>
      </c>
      <c r="G17" s="2" t="inlineStr">
        <is>
          <t>Specialized Knowledge</t>
        </is>
      </c>
      <c r="H17" s="2" t="inlineStr">
        <is>
          <t>Advanced</t>
        </is>
      </c>
      <c r="I17" s="2" t="inlineStr">
        <is>
          <t>Group</t>
        </is>
      </c>
      <c r="J17" s="2" t="inlineStr">
        <is>
          <t>CPE Desk, Firm Name</t>
        </is>
      </c>
      <c r="K17" s="2" t="inlineStr">
        <is>
          <t>29-Oct-2026</t>
        </is>
      </c>
    </row>
    <row r="18">
      <c r="A18" s="2" t="inlineStr">
        <is>
          <t>CERT-2026-016</t>
        </is>
      </c>
      <c r="B18" s="2" t="inlineStr">
        <is>
          <t>Participant – Rachel's Session</t>
        </is>
      </c>
      <c r="C18" s="2" t="inlineStr">
        <is>
          <t>Advanced Tax Reform</t>
        </is>
      </c>
      <c r="D18" s="2" t="inlineStr">
        <is>
          <t>Rachel Novak</t>
        </is>
      </c>
      <c r="E18" s="2" t="inlineStr">
        <is>
          <t>15-Sep-2026</t>
        </is>
      </c>
      <c r="F18" s="2" t="n">
        <v>2</v>
      </c>
      <c r="G18" s="2" t="inlineStr">
        <is>
          <t>Specialized Knowledge</t>
        </is>
      </c>
      <c r="H18" s="2" t="inlineStr">
        <is>
          <t>Basic</t>
        </is>
      </c>
      <c r="I18" s="2" t="inlineStr">
        <is>
          <t>Self-study</t>
        </is>
      </c>
      <c r="J18" s="2" t="inlineStr">
        <is>
          <t>CPE Desk, Firm Name</t>
        </is>
      </c>
      <c r="K18" s="2" t="inlineStr">
        <is>
          <t>29-Oct-2026</t>
        </is>
      </c>
    </row>
    <row r="19">
      <c r="A19" s="2" t="inlineStr">
        <is>
          <t>CERT-2026-017</t>
        </is>
      </c>
      <c r="B19" s="2" t="inlineStr">
        <is>
          <t>Participant – Paul's Session</t>
        </is>
      </c>
      <c r="C19" s="2" t="inlineStr">
        <is>
          <t>Essentials of IFRS vs GAAP</t>
        </is>
      </c>
      <c r="D19" s="2" t="inlineStr">
        <is>
          <t>Paul Mbeki</t>
        </is>
      </c>
      <c r="E19" s="2" t="inlineStr">
        <is>
          <t>22-Sep-2026</t>
        </is>
      </c>
      <c r="F19" s="2" t="n">
        <v>0.5</v>
      </c>
      <c r="G19" s="2" t="inlineStr">
        <is>
          <t>Information Technology</t>
        </is>
      </c>
      <c r="H19" s="2" t="inlineStr">
        <is>
          <t>Intermediate</t>
        </is>
      </c>
      <c r="I19" s="2" t="inlineStr">
        <is>
          <t>Group</t>
        </is>
      </c>
      <c r="J19" s="2" t="inlineStr">
        <is>
          <t>CPE Desk, Firm Name</t>
        </is>
      </c>
      <c r="K19" s="2" t="inlineStr">
        <is>
          <t>29-Oct-2026</t>
        </is>
      </c>
    </row>
    <row r="20">
      <c r="A20" s="2" t="inlineStr">
        <is>
          <t>CERT-2026-018</t>
        </is>
      </c>
      <c r="B20" s="2" t="inlineStr">
        <is>
          <t>Participant – Irene's Session</t>
        </is>
      </c>
      <c r="C20" s="2" t="inlineStr">
        <is>
          <t>Deep Dive into Cybersecurity Risk</t>
        </is>
      </c>
      <c r="D20" s="2" t="inlineStr">
        <is>
          <t>Irene Schultz</t>
        </is>
      </c>
      <c r="E20" s="2" t="inlineStr">
        <is>
          <t>16-Sep-2026</t>
        </is>
      </c>
      <c r="F20" s="2" t="n">
        <v>3</v>
      </c>
      <c r="G20" s="2" t="inlineStr">
        <is>
          <t>Business Law</t>
        </is>
      </c>
      <c r="H20" s="2" t="inlineStr">
        <is>
          <t>Basic</t>
        </is>
      </c>
      <c r="I20" s="2" t="inlineStr">
        <is>
          <t>Self-study</t>
        </is>
      </c>
      <c r="J20" s="2" t="inlineStr">
        <is>
          <t>CPE Desk, Firm Name</t>
        </is>
      </c>
      <c r="K20" s="2" t="inlineStr">
        <is>
          <t>29-Oct-2026</t>
        </is>
      </c>
    </row>
    <row r="21">
      <c r="A21" s="2" t="inlineStr">
        <is>
          <t>CERT-2026-019</t>
        </is>
      </c>
      <c r="B21" s="2" t="inlineStr">
        <is>
          <t>Participant – Nate's Session</t>
        </is>
      </c>
      <c r="C21" s="2" t="inlineStr">
        <is>
          <t>Practical Data Analytics for CPAs</t>
        </is>
      </c>
      <c r="D21" s="2" t="inlineStr">
        <is>
          <t>Nate Johansson</t>
        </is>
      </c>
      <c r="E21" s="2" t="inlineStr">
        <is>
          <t>07-Sep-2026</t>
        </is>
      </c>
      <c r="F21" s="2" t="n">
        <v>2</v>
      </c>
      <c r="G21" s="2" t="inlineStr">
        <is>
          <t>Information Technology</t>
        </is>
      </c>
      <c r="H21" s="2" t="inlineStr">
        <is>
          <t>Advanced</t>
        </is>
      </c>
      <c r="I21" s="2" t="inlineStr">
        <is>
          <t>Group</t>
        </is>
      </c>
      <c r="J21" s="2" t="inlineStr">
        <is>
          <t>CPE Desk, Firm Name</t>
        </is>
      </c>
      <c r="K21" s="2" t="inlineStr">
        <is>
          <t>29-Oct-2026</t>
        </is>
      </c>
    </row>
    <row r="22">
      <c r="A22" s="2" t="inlineStr">
        <is>
          <t>CERT-2026-020</t>
        </is>
      </c>
      <c r="B22" s="2" t="inlineStr">
        <is>
          <t>Participant – Rachel's Session</t>
        </is>
      </c>
      <c r="C22" s="2" t="inlineStr">
        <is>
          <t>Foundations of QuickBooks Pro</t>
        </is>
      </c>
      <c r="D22" s="2" t="inlineStr">
        <is>
          <t>Rachel Novak</t>
        </is>
      </c>
      <c r="E22" s="2" t="inlineStr">
        <is>
          <t>27-Sep-2026</t>
        </is>
      </c>
      <c r="F22" s="2" t="n">
        <v>0.5</v>
      </c>
      <c r="G22" s="2" t="inlineStr">
        <is>
          <t>Ethics</t>
        </is>
      </c>
      <c r="H22" s="2" t="inlineStr">
        <is>
          <t>Basic</t>
        </is>
      </c>
      <c r="I22" s="2" t="inlineStr">
        <is>
          <t>Group</t>
        </is>
      </c>
      <c r="J22" s="2" t="inlineStr">
        <is>
          <t>CPE Desk, Firm Name</t>
        </is>
      </c>
      <c r="K22" s="2" t="inlineStr">
        <is>
          <t>29-Oct-2026</t>
        </is>
      </c>
    </row>
    <row r="23">
      <c r="A23" s="2" t="inlineStr">
        <is>
          <t>CERT-2026-021</t>
        </is>
      </c>
      <c r="B23" s="2" t="inlineStr">
        <is>
          <t>Participant – Nate's Session</t>
        </is>
      </c>
      <c r="C23" s="2" t="inlineStr">
        <is>
          <t>Advanced Remote Audit Techniques</t>
        </is>
      </c>
      <c r="D23" s="2" t="inlineStr">
        <is>
          <t>Nate Johansson</t>
        </is>
      </c>
      <c r="E23" s="2" t="inlineStr">
        <is>
          <t>28-Sep-2026</t>
        </is>
      </c>
      <c r="F23" s="2" t="n">
        <v>3</v>
      </c>
      <c r="G23" s="2" t="inlineStr">
        <is>
          <t>Specialized Knowledge</t>
        </is>
      </c>
      <c r="H23" s="2" t="inlineStr">
        <is>
          <t>Advanced</t>
        </is>
      </c>
      <c r="I23" s="2" t="inlineStr">
        <is>
          <t>Self-study</t>
        </is>
      </c>
      <c r="J23" s="2" t="inlineStr">
        <is>
          <t>CPE Desk, Firm Name</t>
        </is>
      </c>
      <c r="K23" s="2" t="inlineStr">
        <is>
          <t>29-Oct-2026</t>
        </is>
      </c>
    </row>
    <row r="24">
      <c r="A24" s="2" t="inlineStr">
        <is>
          <t>CERT-2026-022</t>
        </is>
      </c>
      <c r="B24" s="2" t="inlineStr">
        <is>
          <t>Participant – Irene's Session</t>
        </is>
      </c>
      <c r="C24" s="2" t="inlineStr">
        <is>
          <t>Current Issues in Fraud Prevention</t>
        </is>
      </c>
      <c r="D24" s="2" t="inlineStr">
        <is>
          <t>Irene Schultz</t>
        </is>
      </c>
      <c r="E24" s="2" t="inlineStr">
        <is>
          <t>08-Sep-2026</t>
        </is>
      </c>
      <c r="F24" s="2" t="n">
        <v>0</v>
      </c>
      <c r="G24" s="2" t="inlineStr">
        <is>
          <t>Business Law</t>
        </is>
      </c>
      <c r="H24" s="2" t="inlineStr">
        <is>
          <t>Advanced</t>
        </is>
      </c>
      <c r="I24" s="2" t="inlineStr">
        <is>
          <t>Self-study</t>
        </is>
      </c>
      <c r="J24" s="2" t="inlineStr">
        <is>
          <t>CPE Desk, Firm Name</t>
        </is>
      </c>
      <c r="K24" s="2" t="inlineStr">
        <is>
          <t>29-Oct-2026</t>
        </is>
      </c>
    </row>
    <row r="25">
      <c r="A25" s="2" t="inlineStr">
        <is>
          <t>CERT-2026-023</t>
        </is>
      </c>
      <c r="B25" s="2" t="inlineStr">
        <is>
          <t>Participant – Karen's Session</t>
        </is>
      </c>
      <c r="C25" s="2" t="inlineStr">
        <is>
          <t>Workshop: Lease Accounting</t>
        </is>
      </c>
      <c r="D25" s="2" t="inlineStr">
        <is>
          <t>Karen Li</t>
        </is>
      </c>
      <c r="E25" s="2" t="inlineStr">
        <is>
          <t>15-Oct-2026</t>
        </is>
      </c>
      <c r="F25" s="2" t="n">
        <v>0.5</v>
      </c>
      <c r="G25" s="2" t="inlineStr">
        <is>
          <t>Ethics</t>
        </is>
      </c>
      <c r="H25" s="2" t="inlineStr">
        <is>
          <t>Advanced</t>
        </is>
      </c>
      <c r="I25" s="2" t="inlineStr">
        <is>
          <t>Self-study</t>
        </is>
      </c>
      <c r="J25" s="2" t="inlineStr">
        <is>
          <t>CPE Desk, Firm Name</t>
        </is>
      </c>
      <c r="K25" s="2" t="inlineStr">
        <is>
          <t>29-Oct-2026</t>
        </is>
      </c>
    </row>
    <row r="26">
      <c r="A26" s="2" t="inlineStr">
        <is>
          <t>CERT-2026-024</t>
        </is>
      </c>
      <c r="B26" s="2" t="inlineStr">
        <is>
          <t>Participant – James's Session</t>
        </is>
      </c>
      <c r="C26" s="2" t="inlineStr">
        <is>
          <t>Deep Dive into QuickBooks Pro</t>
        </is>
      </c>
      <c r="D26" s="2" t="inlineStr">
        <is>
          <t>James Osei</t>
        </is>
      </c>
      <c r="E26" s="2" t="inlineStr">
        <is>
          <t>11-Oct-2026</t>
        </is>
      </c>
      <c r="F26" s="2" t="n">
        <v>1</v>
      </c>
      <c r="G26" s="2" t="inlineStr">
        <is>
          <t>Information Technology</t>
        </is>
      </c>
      <c r="H26" s="2" t="inlineStr">
        <is>
          <t>Advanced</t>
        </is>
      </c>
      <c r="I26" s="2" t="inlineStr">
        <is>
          <t>Group</t>
        </is>
      </c>
      <c r="J26" s="2" t="inlineStr">
        <is>
          <t>CPE Desk, Firm Name</t>
        </is>
      </c>
      <c r="K26" s="2" t="inlineStr">
        <is>
          <t>29-Oct-2026</t>
        </is>
      </c>
    </row>
    <row r="27">
      <c r="A27" s="2" t="inlineStr">
        <is>
          <t>CERT-2026-025</t>
        </is>
      </c>
      <c r="B27" s="2" t="inlineStr">
        <is>
          <t>Participant – James's Session</t>
        </is>
      </c>
      <c r="C27" s="2" t="inlineStr">
        <is>
          <t>Current Issues in Blockchain in Accounting</t>
        </is>
      </c>
      <c r="D27" s="2" t="inlineStr">
        <is>
          <t>James Osei</t>
        </is>
      </c>
      <c r="E27" s="2" t="inlineStr">
        <is>
          <t>01-Oct-2026</t>
        </is>
      </c>
      <c r="F27" s="2" t="n">
        <v>2</v>
      </c>
      <c r="G27" s="2" t="inlineStr">
        <is>
          <t>Ethics</t>
        </is>
      </c>
      <c r="H27" s="2" t="inlineStr">
        <is>
          <t>Basic</t>
        </is>
      </c>
      <c r="I27" s="2" t="inlineStr">
        <is>
          <t>Group</t>
        </is>
      </c>
      <c r="J27" s="2" t="inlineStr">
        <is>
          <t>CPE Desk, Firm Name</t>
        </is>
      </c>
      <c r="K27" s="2" t="inlineStr">
        <is>
          <t>29-Oct-2026</t>
        </is>
      </c>
    </row>
    <row r="28">
      <c r="A28" s="2" t="inlineStr">
        <is>
          <t>CERT-2026-026</t>
        </is>
      </c>
      <c r="B28" s="2" t="inlineStr">
        <is>
          <t>Participant – Olivia's Session</t>
        </is>
      </c>
      <c r="C28" s="2" t="inlineStr">
        <is>
          <t>Seminar: Internal Controls</t>
        </is>
      </c>
      <c r="D28" s="2" t="inlineStr">
        <is>
          <t>Olivia Chen</t>
        </is>
      </c>
      <c r="E28" s="2" t="inlineStr">
        <is>
          <t>19-Oct-2026</t>
        </is>
      </c>
      <c r="F28" s="2" t="n">
        <v>4</v>
      </c>
      <c r="G28" s="2" t="inlineStr">
        <is>
          <t>Taxation</t>
        </is>
      </c>
      <c r="H28" s="2" t="inlineStr">
        <is>
          <t>Advanced</t>
        </is>
      </c>
      <c r="I28" s="2" t="inlineStr">
        <is>
          <t>Group</t>
        </is>
      </c>
      <c r="J28" s="2" t="inlineStr">
        <is>
          <t>CPE Desk, Firm Name</t>
        </is>
      </c>
      <c r="K28" s="2" t="inlineStr">
        <is>
          <t>29-Oct-2026</t>
        </is>
      </c>
    </row>
    <row r="29">
      <c r="A29" s="2" t="inlineStr">
        <is>
          <t>CERT-2026-027</t>
        </is>
      </c>
      <c r="B29" s="2" t="inlineStr">
        <is>
          <t>Participant – Karen's Session</t>
        </is>
      </c>
      <c r="C29" s="2" t="inlineStr">
        <is>
          <t>Foundations of Remote Audit Techniques</t>
        </is>
      </c>
      <c r="D29" s="2" t="inlineStr">
        <is>
          <t>Karen Li</t>
        </is>
      </c>
      <c r="E29" s="2" t="inlineStr">
        <is>
          <t>11-Sep-2026</t>
        </is>
      </c>
      <c r="F29" s="2" t="n">
        <v>2</v>
      </c>
      <c r="G29" s="2" t="inlineStr">
        <is>
          <t>Finance</t>
        </is>
      </c>
      <c r="H29" s="2" t="inlineStr">
        <is>
          <t>Basic</t>
        </is>
      </c>
      <c r="I29" s="2" t="inlineStr">
        <is>
          <t>Group</t>
        </is>
      </c>
      <c r="J29" s="2" t="inlineStr">
        <is>
          <t>CPE Desk, Firm Name</t>
        </is>
      </c>
      <c r="K29" s="2" t="inlineStr">
        <is>
          <t>29-Oct-2026</t>
        </is>
      </c>
    </row>
    <row r="30">
      <c r="A30" s="2" t="inlineStr">
        <is>
          <t>CERT-2026-028</t>
        </is>
      </c>
      <c r="B30" s="2" t="inlineStr">
        <is>
          <t>Participant – Henry's Session</t>
        </is>
      </c>
      <c r="C30" s="2" t="inlineStr">
        <is>
          <t>Current Issues in Lease Accounting</t>
        </is>
      </c>
      <c r="D30" s="2" t="inlineStr">
        <is>
          <t>Henry Reyes</t>
        </is>
      </c>
      <c r="E30" s="2" t="inlineStr">
        <is>
          <t>16-Oct-2026</t>
        </is>
      </c>
      <c r="F30" s="2" t="n">
        <v>1.5</v>
      </c>
      <c r="G30" s="2" t="inlineStr">
        <is>
          <t>Economics</t>
        </is>
      </c>
      <c r="H30" s="2" t="inlineStr">
        <is>
          <t>Basic</t>
        </is>
      </c>
      <c r="I30" s="2" t="inlineStr">
        <is>
          <t>Group</t>
        </is>
      </c>
      <c r="J30" s="2" t="inlineStr">
        <is>
          <t>CPE Desk, Firm Name</t>
        </is>
      </c>
      <c r="K30" s="2" t="inlineStr">
        <is>
          <t>29-Oct-2026</t>
        </is>
      </c>
    </row>
    <row r="31">
      <c r="A31" s="2" t="inlineStr">
        <is>
          <t>CERT-2026-029</t>
        </is>
      </c>
      <c r="B31" s="2" t="inlineStr">
        <is>
          <t>Participant – Nate's Session</t>
        </is>
      </c>
      <c r="C31" s="2" t="inlineStr">
        <is>
          <t>Advanced Auditing Standards</t>
        </is>
      </c>
      <c r="D31" s="2" t="inlineStr">
        <is>
          <t>Nate Johansson</t>
        </is>
      </c>
      <c r="E31" s="2" t="inlineStr">
        <is>
          <t>27-Sep-2026</t>
        </is>
      </c>
      <c r="F31" s="2" t="n">
        <v>3</v>
      </c>
      <c r="G31" s="2" t="inlineStr">
        <is>
          <t>Accounting</t>
        </is>
      </c>
      <c r="H31" s="2" t="inlineStr">
        <is>
          <t>Basic</t>
        </is>
      </c>
      <c r="I31" s="2" t="inlineStr">
        <is>
          <t>Self-study</t>
        </is>
      </c>
      <c r="J31" s="2" t="inlineStr">
        <is>
          <t>CPE Desk, Firm Name</t>
        </is>
      </c>
      <c r="K31" s="2" t="inlineStr">
        <is>
          <t>29-Oct-2026</t>
        </is>
      </c>
    </row>
    <row r="32">
      <c r="A32" s="2" t="inlineStr">
        <is>
          <t>CERT-2026-030</t>
        </is>
      </c>
      <c r="B32" s="2" t="inlineStr">
        <is>
          <t>Participant – Sam's Session</t>
        </is>
      </c>
      <c r="C32" s="2" t="inlineStr">
        <is>
          <t>Current Issues in GAAP Updates</t>
        </is>
      </c>
      <c r="D32" s="2" t="inlineStr">
        <is>
          <t>Sam Adeyemi</t>
        </is>
      </c>
      <c r="E32" s="2" t="inlineStr">
        <is>
          <t>30-Sep-2026</t>
        </is>
      </c>
      <c r="F32" s="2" t="n">
        <v>0</v>
      </c>
      <c r="G32" s="2" t="inlineStr">
        <is>
          <t>Management</t>
        </is>
      </c>
      <c r="H32" s="2" t="inlineStr">
        <is>
          <t>Intermediate</t>
        </is>
      </c>
      <c r="I32" s="2" t="inlineStr">
        <is>
          <t>Self-study</t>
        </is>
      </c>
      <c r="J32" s="2" t="inlineStr">
        <is>
          <t>CPE Desk, Firm Name</t>
        </is>
      </c>
      <c r="K32" s="2" t="inlineStr">
        <is>
          <t>29-Oct-2026</t>
        </is>
      </c>
    </row>
    <row r="33">
      <c r="A33" s="2" t="inlineStr">
        <is>
          <t>CERT-2026-031</t>
        </is>
      </c>
      <c r="B33" s="2" t="inlineStr">
        <is>
          <t>Participant – Grace's Session</t>
        </is>
      </c>
      <c r="C33" s="2" t="inlineStr">
        <is>
          <t>Workshop: Estate Planning</t>
        </is>
      </c>
      <c r="D33" s="2" t="inlineStr">
        <is>
          <t>Grace Patel</t>
        </is>
      </c>
      <c r="E33" s="2" t="inlineStr">
        <is>
          <t>05-Oct-2026</t>
        </is>
      </c>
      <c r="F33" s="2" t="n">
        <v>2</v>
      </c>
      <c r="G33" s="2" t="inlineStr">
        <is>
          <t>Information Technology</t>
        </is>
      </c>
      <c r="H33" s="2" t="inlineStr">
        <is>
          <t>Intermediate</t>
        </is>
      </c>
      <c r="I33" s="2" t="inlineStr">
        <is>
          <t>Self-study</t>
        </is>
      </c>
      <c r="J33" s="2" t="inlineStr">
        <is>
          <t>CPE Desk, Firm Name</t>
        </is>
      </c>
      <c r="K33" s="2" t="inlineStr">
        <is>
          <t>29-Oct-2026</t>
        </is>
      </c>
    </row>
    <row r="34">
      <c r="A34" s="2" t="inlineStr">
        <is>
          <t>CERT-2026-032</t>
        </is>
      </c>
      <c r="B34" s="2" t="inlineStr">
        <is>
          <t>Participant – Alice's Session</t>
        </is>
      </c>
      <c r="C34" s="2" t="inlineStr">
        <is>
          <t>Advanced SOX Compliance</t>
        </is>
      </c>
      <c r="D34" s="2" t="inlineStr">
        <is>
          <t>Alice Morrow</t>
        </is>
      </c>
      <c r="E34" s="2" t="inlineStr">
        <is>
          <t>23-Oct-2026</t>
        </is>
      </c>
      <c r="F34" s="2" t="n">
        <v>2</v>
      </c>
      <c r="G34" s="2" t="inlineStr">
        <is>
          <t>Finance</t>
        </is>
      </c>
      <c r="H34" s="2" t="inlineStr">
        <is>
          <t>Advanced</t>
        </is>
      </c>
      <c r="I34" s="2" t="inlineStr">
        <is>
          <t>Group</t>
        </is>
      </c>
      <c r="J34" s="2" t="inlineStr">
        <is>
          <t>CPE Desk, Firm Name</t>
        </is>
      </c>
      <c r="K34" s="2" t="inlineStr">
        <is>
          <t>29-Oct-2026</t>
        </is>
      </c>
    </row>
    <row r="35">
      <c r="A35" s="2" t="inlineStr">
        <is>
          <t>CERT-2026-033</t>
        </is>
      </c>
      <c r="B35" s="2" t="inlineStr">
        <is>
          <t>Participant – Irene's Session</t>
        </is>
      </c>
      <c r="C35" s="2" t="inlineStr">
        <is>
          <t>Mastering Internal Controls</t>
        </is>
      </c>
      <c r="D35" s="2" t="inlineStr">
        <is>
          <t>Irene Schultz</t>
        </is>
      </c>
      <c r="E35" s="2" t="inlineStr">
        <is>
          <t>25-Oct-2026</t>
        </is>
      </c>
      <c r="F35" s="2" t="n">
        <v>1</v>
      </c>
      <c r="G35" s="2" t="inlineStr">
        <is>
          <t>Specialized Knowledge</t>
        </is>
      </c>
      <c r="H35" s="2" t="inlineStr">
        <is>
          <t>Advanced</t>
        </is>
      </c>
      <c r="I35" s="2" t="inlineStr">
        <is>
          <t>Self-study</t>
        </is>
      </c>
      <c r="J35" s="2" t="inlineStr">
        <is>
          <t>CPE Desk, Firm Name</t>
        </is>
      </c>
      <c r="K35" s="2" t="inlineStr">
        <is>
          <t>29-Oct-2026</t>
        </is>
      </c>
    </row>
    <row r="36">
      <c r="A36" s="2" t="inlineStr">
        <is>
          <t>CERT-2026-034</t>
        </is>
      </c>
      <c r="B36" s="2" t="inlineStr">
        <is>
          <t>Participant – Nate's Session</t>
        </is>
      </c>
      <c r="C36" s="2" t="inlineStr">
        <is>
          <t>Advanced Auditing Standards</t>
        </is>
      </c>
      <c r="D36" s="2" t="inlineStr">
        <is>
          <t>Nate Johansson</t>
        </is>
      </c>
      <c r="E36" s="2" t="inlineStr">
        <is>
          <t>20-Oct-2026</t>
        </is>
      </c>
      <c r="F36" s="2" t="n">
        <v>0.5</v>
      </c>
      <c r="G36" s="2" t="inlineStr">
        <is>
          <t>Specialized Knowledge</t>
        </is>
      </c>
      <c r="H36" s="2" t="inlineStr">
        <is>
          <t>Basic</t>
        </is>
      </c>
      <c r="I36" s="2" t="inlineStr">
        <is>
          <t>Self-study</t>
        </is>
      </c>
      <c r="J36" s="2" t="inlineStr">
        <is>
          <t>CPE Desk, Firm Name</t>
        </is>
      </c>
      <c r="K36" s="2" t="inlineStr">
        <is>
          <t>29-Oct-2026</t>
        </is>
      </c>
    </row>
    <row r="37">
      <c r="A37" s="2" t="inlineStr">
        <is>
          <t>CERT-2026-035</t>
        </is>
      </c>
      <c r="B37" s="2" t="inlineStr">
        <is>
          <t>Participant – Quinn's Session</t>
        </is>
      </c>
      <c r="C37" s="2" t="inlineStr">
        <is>
          <t>Deep Dive into Lease Accounting</t>
        </is>
      </c>
      <c r="D37" s="2" t="inlineStr">
        <is>
          <t>Quinn Torres</t>
        </is>
      </c>
      <c r="E37" s="2" t="inlineStr">
        <is>
          <t>17-Oct-2026</t>
        </is>
      </c>
      <c r="F37" s="2" t="n">
        <v>0</v>
      </c>
      <c r="G37" s="2" t="inlineStr">
        <is>
          <t>Information Technology</t>
        </is>
      </c>
      <c r="H37" s="2" t="inlineStr">
        <is>
          <t>Intermediate</t>
        </is>
      </c>
      <c r="I37" s="2" t="inlineStr">
        <is>
          <t>Self-study</t>
        </is>
      </c>
      <c r="J37" s="2" t="inlineStr">
        <is>
          <t>CPE Desk, Firm Name</t>
        </is>
      </c>
      <c r="K37" s="2" t="inlineStr">
        <is>
          <t>29-Oct-2026</t>
        </is>
      </c>
    </row>
    <row r="38">
      <c r="A38" s="2" t="inlineStr">
        <is>
          <t>CERT-2026-036</t>
        </is>
      </c>
      <c r="B38" s="2" t="inlineStr">
        <is>
          <t>Participant – Elena's Session</t>
        </is>
      </c>
      <c r="C38" s="2" t="inlineStr">
        <is>
          <t>Deep Dive into Internal Controls</t>
        </is>
      </c>
      <c r="D38" s="2" t="inlineStr">
        <is>
          <t>Elena Voss</t>
        </is>
      </c>
      <c r="E38" s="2" t="inlineStr">
        <is>
          <t>03-Oct-2026</t>
        </is>
      </c>
      <c r="F38" s="2" t="n">
        <v>1.5</v>
      </c>
      <c r="G38" s="2" t="inlineStr">
        <is>
          <t>Specialized Knowledge</t>
        </is>
      </c>
      <c r="H38" s="2" t="inlineStr">
        <is>
          <t>Advanced</t>
        </is>
      </c>
      <c r="I38" s="2" t="inlineStr">
        <is>
          <t>Group</t>
        </is>
      </c>
      <c r="J38" s="2" t="inlineStr">
        <is>
          <t>CPE Desk, Firm Name</t>
        </is>
      </c>
      <c r="K38" s="2" t="inlineStr">
        <is>
          <t>29-Oct-2026</t>
        </is>
      </c>
    </row>
    <row r="39">
      <c r="A39" s="2" t="inlineStr">
        <is>
          <t>CERT-2026-037</t>
        </is>
      </c>
      <c r="B39" s="2" t="inlineStr">
        <is>
          <t>Participant – Maya's Session</t>
        </is>
      </c>
      <c r="C39" s="2" t="inlineStr">
        <is>
          <t>Current Issues in Remote Audit Techniques</t>
        </is>
      </c>
      <c r="D39" s="2" t="inlineStr">
        <is>
          <t>Maya Brooks</t>
        </is>
      </c>
      <c r="E39" s="2" t="inlineStr">
        <is>
          <t>27-Sep-2026</t>
        </is>
      </c>
      <c r="F39" s="2" t="n">
        <v>4</v>
      </c>
      <c r="G39" s="2" t="inlineStr">
        <is>
          <t>Management</t>
        </is>
      </c>
      <c r="H39" s="2" t="inlineStr">
        <is>
          <t>Basic</t>
        </is>
      </c>
      <c r="I39" s="2" t="inlineStr">
        <is>
          <t>Group</t>
        </is>
      </c>
      <c r="J39" s="2" t="inlineStr">
        <is>
          <t>CPE Desk, Firm Name</t>
        </is>
      </c>
      <c r="K39" s="2" t="inlineStr">
        <is>
          <t>29-Oct-2026</t>
        </is>
      </c>
    </row>
    <row r="40">
      <c r="A40" s="2" t="inlineStr">
        <is>
          <t>CERT-2026-038</t>
        </is>
      </c>
      <c r="B40" s="2" t="inlineStr">
        <is>
          <t>Participant – Leo's Session</t>
        </is>
      </c>
      <c r="C40" s="2" t="inlineStr">
        <is>
          <t>Foundations of Estate Planning</t>
        </is>
      </c>
      <c r="D40" s="2" t="inlineStr">
        <is>
          <t>Leo Fernandez</t>
        </is>
      </c>
      <c r="E40" s="2" t="inlineStr">
        <is>
          <t>20-Oct-2026</t>
        </is>
      </c>
      <c r="F40" s="2" t="n">
        <v>1.5</v>
      </c>
      <c r="G40" s="2" t="inlineStr">
        <is>
          <t>Ethics</t>
        </is>
      </c>
      <c r="H40" s="2" t="inlineStr">
        <is>
          <t>Intermediate</t>
        </is>
      </c>
      <c r="I40" s="2" t="inlineStr">
        <is>
          <t>Self-study</t>
        </is>
      </c>
      <c r="J40" s="2" t="inlineStr">
        <is>
          <t>CPE Desk, Firm Name</t>
        </is>
      </c>
      <c r="K40" s="2" t="inlineStr">
        <is>
          <t>29-Oct-2026</t>
        </is>
      </c>
    </row>
    <row r="41">
      <c r="A41" s="2" t="inlineStr">
        <is>
          <t>CERT-2026-039</t>
        </is>
      </c>
      <c r="B41" s="2" t="inlineStr">
        <is>
          <t>Participant – David's Session</t>
        </is>
      </c>
      <c r="C41" s="2" t="inlineStr">
        <is>
          <t>Mastering Estate Planning</t>
        </is>
      </c>
      <c r="D41" s="2" t="inlineStr">
        <is>
          <t>David Okonkwo</t>
        </is>
      </c>
      <c r="E41" s="2" t="inlineStr">
        <is>
          <t>23-Oct-2026</t>
        </is>
      </c>
      <c r="F41" s="2" t="n">
        <v>1</v>
      </c>
      <c r="G41" s="2" t="inlineStr">
        <is>
          <t>Finance</t>
        </is>
      </c>
      <c r="H41" s="2" t="inlineStr">
        <is>
          <t>Advanced</t>
        </is>
      </c>
      <c r="I41" s="2" t="inlineStr">
        <is>
          <t>Group</t>
        </is>
      </c>
      <c r="J41" s="2" t="inlineStr">
        <is>
          <t>CPE Desk, Firm Name</t>
        </is>
      </c>
      <c r="K41" s="2" t="inlineStr">
        <is>
          <t>29-Oct-2026</t>
        </is>
      </c>
    </row>
    <row r="42">
      <c r="A42" s="2" t="inlineStr">
        <is>
          <t>CERT-2026-040</t>
        </is>
      </c>
      <c r="B42" s="2" t="inlineStr">
        <is>
          <t>Participant – Rachel's Session</t>
        </is>
      </c>
      <c r="C42" s="2" t="inlineStr">
        <is>
          <t>Essentials of GAAP Updates</t>
        </is>
      </c>
      <c r="D42" s="2" t="inlineStr">
        <is>
          <t>Rachel Novak</t>
        </is>
      </c>
      <c r="E42" s="2" t="inlineStr">
        <is>
          <t>14-Sep-2026</t>
        </is>
      </c>
      <c r="F42" s="2" t="n">
        <v>0.5</v>
      </c>
      <c r="G42" s="2" t="inlineStr">
        <is>
          <t>Accounting</t>
        </is>
      </c>
      <c r="H42" s="2" t="inlineStr">
        <is>
          <t>Advanced</t>
        </is>
      </c>
      <c r="I42" s="2" t="inlineStr">
        <is>
          <t>Self-study</t>
        </is>
      </c>
      <c r="J42" s="2" t="inlineStr">
        <is>
          <t>CPE Desk, Firm Name</t>
        </is>
      </c>
      <c r="K42" s="2" t="inlineStr">
        <is>
          <t>29-Oct-2026</t>
        </is>
      </c>
    </row>
    <row r="43">
      <c r="A43" s="2" t="inlineStr">
        <is>
          <t>CERT-2026-041</t>
        </is>
      </c>
      <c r="B43" s="2" t="inlineStr">
        <is>
          <t>Participant – Alice's Session</t>
        </is>
      </c>
      <c r="C43" s="2" t="inlineStr">
        <is>
          <t>Seminar: Tax Reform</t>
        </is>
      </c>
      <c r="D43" s="2" t="inlineStr">
        <is>
          <t>Alice Morrow</t>
        </is>
      </c>
      <c r="E43" s="2" t="inlineStr">
        <is>
          <t>12-Oct-2026</t>
        </is>
      </c>
      <c r="F43" s="2" t="n">
        <v>4</v>
      </c>
      <c r="G43" s="2" t="inlineStr">
        <is>
          <t>Economics</t>
        </is>
      </c>
      <c r="H43" s="2" t="inlineStr">
        <is>
          <t>Intermediate</t>
        </is>
      </c>
      <c r="I43" s="2" t="inlineStr">
        <is>
          <t>Self-study</t>
        </is>
      </c>
      <c r="J43" s="2" t="inlineStr">
        <is>
          <t>CPE Desk, Firm Name</t>
        </is>
      </c>
      <c r="K43" s="2" t="inlineStr">
        <is>
          <t>29-Oct-2026</t>
        </is>
      </c>
    </row>
    <row r="44">
      <c r="A44" s="2" t="inlineStr">
        <is>
          <t>CERT-2026-042</t>
        </is>
      </c>
      <c r="B44" s="2" t="inlineStr">
        <is>
          <t>Participant – Paul's Session</t>
        </is>
      </c>
      <c r="C44" s="2" t="inlineStr">
        <is>
          <t>Introduction to Excel for Accountants</t>
        </is>
      </c>
      <c r="D44" s="2" t="inlineStr">
        <is>
          <t>Paul Mbeki</t>
        </is>
      </c>
      <c r="E44" s="2" t="inlineStr">
        <is>
          <t>13-Sep-2026</t>
        </is>
      </c>
      <c r="F44" s="2" t="n">
        <v>2.5</v>
      </c>
      <c r="G44" s="2" t="inlineStr">
        <is>
          <t>Economics</t>
        </is>
      </c>
      <c r="H44" s="2" t="inlineStr">
        <is>
          <t>Basic</t>
        </is>
      </c>
      <c r="I44" s="2" t="inlineStr">
        <is>
          <t>Group</t>
        </is>
      </c>
      <c r="J44" s="2" t="inlineStr">
        <is>
          <t>CPE Desk, Firm Name</t>
        </is>
      </c>
      <c r="K44" s="2" t="inlineStr">
        <is>
          <t>29-Oct-2026</t>
        </is>
      </c>
    </row>
    <row r="45">
      <c r="A45" s="2" t="inlineStr">
        <is>
          <t>CERT-2026-043</t>
        </is>
      </c>
      <c r="B45" s="2" t="inlineStr">
        <is>
          <t>Participant – Clara's Session</t>
        </is>
      </c>
      <c r="C45" s="2" t="inlineStr">
        <is>
          <t>Mastering Excel for Accountants</t>
        </is>
      </c>
      <c r="D45" s="2" t="inlineStr">
        <is>
          <t>Clara Singh</t>
        </is>
      </c>
      <c r="E45" s="2" t="inlineStr">
        <is>
          <t>16-Sep-2026</t>
        </is>
      </c>
      <c r="F45" s="2" t="n">
        <v>1</v>
      </c>
      <c r="G45" s="2" t="inlineStr">
        <is>
          <t>Business Law</t>
        </is>
      </c>
      <c r="H45" s="2" t="inlineStr">
        <is>
          <t>Basic</t>
        </is>
      </c>
      <c r="I45" s="2" t="inlineStr">
        <is>
          <t>Group</t>
        </is>
      </c>
      <c r="J45" s="2" t="inlineStr">
        <is>
          <t>CPE Desk, Firm Name</t>
        </is>
      </c>
      <c r="K45" s="2" t="inlineStr">
        <is>
          <t>29-Oct-2026</t>
        </is>
      </c>
    </row>
    <row r="46">
      <c r="A46" s="2" t="inlineStr">
        <is>
          <t>CERT-2026-044</t>
        </is>
      </c>
      <c r="B46" s="2" t="inlineStr">
        <is>
          <t>Participant – Tina's Session</t>
        </is>
      </c>
      <c r="C46" s="2" t="inlineStr">
        <is>
          <t>Workshop: Internal Controls</t>
        </is>
      </c>
      <c r="D46" s="2" t="inlineStr">
        <is>
          <t>Tina Williams</t>
        </is>
      </c>
      <c r="E46" s="2" t="inlineStr">
        <is>
          <t>06-Oct-2026</t>
        </is>
      </c>
      <c r="F46" s="2" t="n">
        <v>0.5</v>
      </c>
      <c r="G46" s="2" t="inlineStr">
        <is>
          <t>Finance</t>
        </is>
      </c>
      <c r="H46" s="2" t="inlineStr">
        <is>
          <t>Intermediate</t>
        </is>
      </c>
      <c r="I46" s="2" t="inlineStr">
        <is>
          <t>Self-study</t>
        </is>
      </c>
      <c r="J46" s="2" t="inlineStr">
        <is>
          <t>CPE Desk, Firm Name</t>
        </is>
      </c>
      <c r="K46" s="2" t="inlineStr">
        <is>
          <t>29-Oct-2026</t>
        </is>
      </c>
    </row>
    <row r="47">
      <c r="A47" s="2" t="inlineStr">
        <is>
          <t>CERT-2026-045</t>
        </is>
      </c>
      <c r="B47" s="2" t="inlineStr">
        <is>
          <t>Participant – Irene's Session</t>
        </is>
      </c>
      <c r="C47" s="2" t="inlineStr">
        <is>
          <t>Advanced Ethical Decision Making</t>
        </is>
      </c>
      <c r="D47" s="2" t="inlineStr">
        <is>
          <t>Irene Schultz</t>
        </is>
      </c>
      <c r="E47" s="2" t="inlineStr">
        <is>
          <t>26-Oct-2026</t>
        </is>
      </c>
      <c r="F47" s="2" t="n">
        <v>3</v>
      </c>
      <c r="G47" s="2" t="inlineStr">
        <is>
          <t>Auditing</t>
        </is>
      </c>
      <c r="H47" s="2" t="inlineStr">
        <is>
          <t>Advanced</t>
        </is>
      </c>
      <c r="I47" s="2" t="inlineStr">
        <is>
          <t>Group</t>
        </is>
      </c>
      <c r="J47" s="2" t="inlineStr">
        <is>
          <t>CPE Desk, Firm Name</t>
        </is>
      </c>
      <c r="K47" s="2" t="inlineStr">
        <is>
          <t>29-Oct-2026</t>
        </is>
      </c>
    </row>
    <row r="48">
      <c r="A48" s="2" t="inlineStr">
        <is>
          <t>CERT-2026-046</t>
        </is>
      </c>
      <c r="B48" s="2" t="inlineStr">
        <is>
          <t>Participant – Clara's Session</t>
        </is>
      </c>
      <c r="C48" s="2" t="inlineStr">
        <is>
          <t>Essentials of Cybersecurity Risk</t>
        </is>
      </c>
      <c r="D48" s="2" t="inlineStr">
        <is>
          <t>Clara Singh</t>
        </is>
      </c>
      <c r="E48" s="2" t="inlineStr">
        <is>
          <t>09-Sep-2026</t>
        </is>
      </c>
      <c r="F48" s="2" t="n">
        <v>2</v>
      </c>
      <c r="G48" s="2" t="inlineStr">
        <is>
          <t>Specialized Knowledge</t>
        </is>
      </c>
      <c r="H48" s="2" t="inlineStr">
        <is>
          <t>Advanced</t>
        </is>
      </c>
      <c r="I48" s="2" t="inlineStr">
        <is>
          <t>Group</t>
        </is>
      </c>
      <c r="J48" s="2" t="inlineStr">
        <is>
          <t>CPE Desk, Firm Name</t>
        </is>
      </c>
      <c r="K48" s="2" t="inlineStr">
        <is>
          <t>29-Oct-2026</t>
        </is>
      </c>
    </row>
    <row r="49">
      <c r="A49" s="2" t="inlineStr">
        <is>
          <t>CERT-2026-047</t>
        </is>
      </c>
      <c r="B49" s="2" t="inlineStr">
        <is>
          <t>Participant – James's Session</t>
        </is>
      </c>
      <c r="C49" s="2" t="inlineStr">
        <is>
          <t>Advanced Internal Controls</t>
        </is>
      </c>
      <c r="D49" s="2" t="inlineStr">
        <is>
          <t>James Osei</t>
        </is>
      </c>
      <c r="E49" s="2" t="inlineStr">
        <is>
          <t>20-Oct-2026</t>
        </is>
      </c>
      <c r="F49" s="2" t="n">
        <v>1.5</v>
      </c>
      <c r="G49" s="2" t="inlineStr">
        <is>
          <t>Business Law</t>
        </is>
      </c>
      <c r="H49" s="2" t="inlineStr">
        <is>
          <t>Advanced</t>
        </is>
      </c>
      <c r="I49" s="2" t="inlineStr">
        <is>
          <t>Self-study</t>
        </is>
      </c>
      <c r="J49" s="2" t="inlineStr">
        <is>
          <t>CPE Desk, Firm Name</t>
        </is>
      </c>
      <c r="K49" s="2" t="inlineStr">
        <is>
          <t>29-Oct-2026</t>
        </is>
      </c>
    </row>
    <row r="50">
      <c r="A50" s="2" t="inlineStr">
        <is>
          <t>CERT-2026-048</t>
        </is>
      </c>
      <c r="B50" s="2" t="inlineStr">
        <is>
          <t>Participant – Alice's Session</t>
        </is>
      </c>
      <c r="C50" s="2" t="inlineStr">
        <is>
          <t>Current Issues in Blockchain in Accounting</t>
        </is>
      </c>
      <c r="D50" s="2" t="inlineStr">
        <is>
          <t>Alice Morrow</t>
        </is>
      </c>
      <c r="E50" s="2" t="inlineStr">
        <is>
          <t>24-Oct-2026</t>
        </is>
      </c>
      <c r="F50" s="2" t="n">
        <v>0.5</v>
      </c>
      <c r="G50" s="2" t="inlineStr">
        <is>
          <t>Taxation</t>
        </is>
      </c>
      <c r="H50" s="2" t="inlineStr">
        <is>
          <t>Intermediate</t>
        </is>
      </c>
      <c r="I50" s="2" t="inlineStr">
        <is>
          <t>Self-study</t>
        </is>
      </c>
      <c r="J50" s="2" t="inlineStr">
        <is>
          <t>CPE Desk, Firm Name</t>
        </is>
      </c>
      <c r="K50" s="2" t="inlineStr">
        <is>
          <t>29-Oct-2026</t>
        </is>
      </c>
    </row>
    <row r="51">
      <c r="A51" s="2" t="inlineStr">
        <is>
          <t>CERT-2026-049</t>
        </is>
      </c>
      <c r="B51" s="2" t="inlineStr">
        <is>
          <t>Participant – Nate's Session</t>
        </is>
      </c>
      <c r="C51" s="2" t="inlineStr">
        <is>
          <t>Practical Blockchain in Accounting</t>
        </is>
      </c>
      <c r="D51" s="2" t="inlineStr">
        <is>
          <t>Nate Johansson</t>
        </is>
      </c>
      <c r="E51" s="2" t="inlineStr">
        <is>
          <t>16-Oct-2026</t>
        </is>
      </c>
      <c r="F51" s="2" t="n">
        <v>0.5</v>
      </c>
      <c r="G51" s="2" t="inlineStr">
        <is>
          <t>Economics</t>
        </is>
      </c>
      <c r="H51" s="2" t="inlineStr">
        <is>
          <t>Intermediate</t>
        </is>
      </c>
      <c r="I51" s="2" t="inlineStr">
        <is>
          <t>Self-study</t>
        </is>
      </c>
      <c r="J51" s="2" t="inlineStr">
        <is>
          <t>CPE Desk, Firm Name</t>
        </is>
      </c>
      <c r="K51" s="2" t="inlineStr">
        <is>
          <t>29-Oct-2026</t>
        </is>
      </c>
    </row>
    <row r="52">
      <c r="A52" s="2" t="inlineStr">
        <is>
          <t>CERT-2026-050</t>
        </is>
      </c>
      <c r="B52" s="2" t="inlineStr">
        <is>
          <t>Participant – Frank's Session</t>
        </is>
      </c>
      <c r="C52" s="2" t="inlineStr">
        <is>
          <t>Deep Dive into Tax Reform</t>
        </is>
      </c>
      <c r="D52" s="2" t="inlineStr">
        <is>
          <t>Frank Huang</t>
        </is>
      </c>
      <c r="E52" s="2" t="inlineStr">
        <is>
          <t>27-Sep-2026</t>
        </is>
      </c>
      <c r="F52" s="2" t="n">
        <v>4</v>
      </c>
      <c r="G52" s="2" t="inlineStr">
        <is>
          <t>Ethics</t>
        </is>
      </c>
      <c r="H52" s="2" t="inlineStr">
        <is>
          <t>Advanced</t>
        </is>
      </c>
      <c r="I52" s="2" t="inlineStr">
        <is>
          <t>Self-study</t>
        </is>
      </c>
      <c r="J52" s="2" t="inlineStr">
        <is>
          <t>CPE Desk, Firm Name</t>
        </is>
      </c>
      <c r="K52" s="2" t="inlineStr">
        <is>
          <t>29-Oct-2026</t>
        </is>
      </c>
    </row>
    <row r="53">
      <c r="A53" s="2" t="inlineStr">
        <is>
          <t>CERT-2026-051</t>
        </is>
      </c>
      <c r="B53" s="2" t="inlineStr">
        <is>
          <t>Participant – Karen's Session</t>
        </is>
      </c>
      <c r="C53" s="2" t="inlineStr">
        <is>
          <t>Seminar: Lease Accounting</t>
        </is>
      </c>
      <c r="D53" s="2" t="inlineStr">
        <is>
          <t>Karen Li</t>
        </is>
      </c>
      <c r="E53" s="2" t="inlineStr">
        <is>
          <t>22-Sep-2026</t>
        </is>
      </c>
      <c r="F53" s="2" t="n">
        <v>0.5</v>
      </c>
      <c r="G53" s="2" t="inlineStr">
        <is>
          <t>Information Technology</t>
        </is>
      </c>
      <c r="H53" s="2" t="inlineStr">
        <is>
          <t>Advanced</t>
        </is>
      </c>
      <c r="I53" s="2" t="inlineStr">
        <is>
          <t>Self-study</t>
        </is>
      </c>
      <c r="J53" s="2" t="inlineStr">
        <is>
          <t>CPE Desk, Firm Name</t>
        </is>
      </c>
      <c r="K53" s="2" t="inlineStr">
        <is>
          <t>29-Oct-2026</t>
        </is>
      </c>
    </row>
    <row r="54">
      <c r="A54" s="2" t="inlineStr">
        <is>
          <t>CERT-2026-052</t>
        </is>
      </c>
      <c r="B54" s="2" t="inlineStr">
        <is>
          <t>Participant – Olivia's Session</t>
        </is>
      </c>
      <c r="C54" s="2" t="inlineStr">
        <is>
          <t>Mastering Tax Reform</t>
        </is>
      </c>
      <c r="D54" s="2" t="inlineStr">
        <is>
          <t>Olivia Chen</t>
        </is>
      </c>
      <c r="E54" s="2" t="inlineStr">
        <is>
          <t>13-Sep-2026</t>
        </is>
      </c>
      <c r="F54" s="2" t="n">
        <v>4</v>
      </c>
      <c r="G54" s="2" t="inlineStr">
        <is>
          <t>Ethics</t>
        </is>
      </c>
      <c r="H54" s="2" t="inlineStr">
        <is>
          <t>Advanced</t>
        </is>
      </c>
      <c r="I54" s="2" t="inlineStr">
        <is>
          <t>Group</t>
        </is>
      </c>
      <c r="J54" s="2" t="inlineStr">
        <is>
          <t>CPE Desk, Firm Name</t>
        </is>
      </c>
      <c r="K54" s="2" t="inlineStr">
        <is>
          <t>29-Oct-2026</t>
        </is>
      </c>
    </row>
    <row r="55">
      <c r="A55" s="2" t="inlineStr">
        <is>
          <t>CERT-2026-053</t>
        </is>
      </c>
      <c r="B55" s="2" t="inlineStr">
        <is>
          <t>Participant – Henry's Session</t>
        </is>
      </c>
      <c r="C55" s="2" t="inlineStr">
        <is>
          <t>Seminar: SOX Compliance</t>
        </is>
      </c>
      <c r="D55" s="2" t="inlineStr">
        <is>
          <t>Henry Reyes</t>
        </is>
      </c>
      <c r="E55" s="2" t="inlineStr">
        <is>
          <t>05-Oct-2026</t>
        </is>
      </c>
      <c r="F55" s="2" t="n">
        <v>2.5</v>
      </c>
      <c r="G55" s="2" t="inlineStr">
        <is>
          <t>Finance</t>
        </is>
      </c>
      <c r="H55" s="2" t="inlineStr">
        <is>
          <t>Advanced</t>
        </is>
      </c>
      <c r="I55" s="2" t="inlineStr">
        <is>
          <t>Group</t>
        </is>
      </c>
      <c r="J55" s="2" t="inlineStr">
        <is>
          <t>CPE Desk, Firm Name</t>
        </is>
      </c>
      <c r="K55" s="2" t="inlineStr">
        <is>
          <t>29-Oct-2026</t>
        </is>
      </c>
    </row>
    <row r="56">
      <c r="A56" s="2" t="inlineStr">
        <is>
          <t>CERT-2026-054</t>
        </is>
      </c>
      <c r="B56" s="2" t="inlineStr">
        <is>
          <t>Participant – Paul's Session</t>
        </is>
      </c>
      <c r="C56" s="2" t="inlineStr">
        <is>
          <t>Seminar: Financial Modeling</t>
        </is>
      </c>
      <c r="D56" s="2" t="inlineStr">
        <is>
          <t>Paul Mbeki</t>
        </is>
      </c>
      <c r="E56" s="2" t="inlineStr">
        <is>
          <t>28-Sep-2026</t>
        </is>
      </c>
      <c r="F56" s="2" t="n">
        <v>2.5</v>
      </c>
      <c r="G56" s="2" t="inlineStr">
        <is>
          <t>Economics</t>
        </is>
      </c>
      <c r="H56" s="2" t="inlineStr">
        <is>
          <t>Intermediate</t>
        </is>
      </c>
      <c r="I56" s="2" t="inlineStr">
        <is>
          <t>Self-study</t>
        </is>
      </c>
      <c r="J56" s="2" t="inlineStr">
        <is>
          <t>CPE Desk, Firm Name</t>
        </is>
      </c>
      <c r="K56" s="2" t="inlineStr">
        <is>
          <t>29-Oct-2026</t>
        </is>
      </c>
    </row>
    <row r="57">
      <c r="A57" s="2" t="inlineStr">
        <is>
          <t>CERT-2026-055</t>
        </is>
      </c>
      <c r="B57" s="2" t="inlineStr">
        <is>
          <t>Participant – Elena's Session</t>
        </is>
      </c>
      <c r="C57" s="2" t="inlineStr">
        <is>
          <t>Practical Auditing Standards</t>
        </is>
      </c>
      <c r="D57" s="2" t="inlineStr">
        <is>
          <t>Elena Voss</t>
        </is>
      </c>
      <c r="E57" s="2" t="inlineStr">
        <is>
          <t>10-Sep-2026</t>
        </is>
      </c>
      <c r="F57" s="2" t="n">
        <v>1.5</v>
      </c>
      <c r="G57" s="2" t="inlineStr">
        <is>
          <t>Management</t>
        </is>
      </c>
      <c r="H57" s="2" t="inlineStr">
        <is>
          <t>Advanced</t>
        </is>
      </c>
      <c r="I57" s="2" t="inlineStr">
        <is>
          <t>Self-study</t>
        </is>
      </c>
      <c r="J57" s="2" t="inlineStr">
        <is>
          <t>CPE Desk, Firm Name</t>
        </is>
      </c>
      <c r="K57" s="2" t="inlineStr">
        <is>
          <t>29-Oct-2026</t>
        </is>
      </c>
    </row>
    <row r="58">
      <c r="A58" s="2" t="inlineStr">
        <is>
          <t>CERT-2026-056</t>
        </is>
      </c>
      <c r="B58" s="2" t="inlineStr">
        <is>
          <t>Participant – Maya's Session</t>
        </is>
      </c>
      <c r="C58" s="2" t="inlineStr">
        <is>
          <t>Deep Dive into Financial Modeling</t>
        </is>
      </c>
      <c r="D58" s="2" t="inlineStr">
        <is>
          <t>Maya Brooks</t>
        </is>
      </c>
      <c r="E58" s="2" t="inlineStr">
        <is>
          <t>26-Sep-2026</t>
        </is>
      </c>
      <c r="F58" s="2" t="n">
        <v>0.5</v>
      </c>
      <c r="G58" s="2" t="inlineStr">
        <is>
          <t>Specialized Knowledge</t>
        </is>
      </c>
      <c r="H58" s="2" t="inlineStr">
        <is>
          <t>Basic</t>
        </is>
      </c>
      <c r="I58" s="2" t="inlineStr">
        <is>
          <t>Self-study</t>
        </is>
      </c>
      <c r="J58" s="2" t="inlineStr">
        <is>
          <t>CPE Desk, Firm Name</t>
        </is>
      </c>
      <c r="K58" s="2" t="inlineStr">
        <is>
          <t>29-Oct-2026</t>
        </is>
      </c>
    </row>
    <row r="59">
      <c r="A59" s="2" t="inlineStr">
        <is>
          <t>CERT-2026-057</t>
        </is>
      </c>
      <c r="B59" s="2" t="inlineStr">
        <is>
          <t>Participant – Henry's Session</t>
        </is>
      </c>
      <c r="C59" s="2" t="inlineStr">
        <is>
          <t>Seminar: Tax Reform</t>
        </is>
      </c>
      <c r="D59" s="2" t="inlineStr">
        <is>
          <t>Henry Reyes</t>
        </is>
      </c>
      <c r="E59" s="2" t="inlineStr">
        <is>
          <t>30-Sep-2026</t>
        </is>
      </c>
      <c r="F59" s="2" t="n">
        <v>2</v>
      </c>
      <c r="G59" s="2" t="inlineStr">
        <is>
          <t>Ethics</t>
        </is>
      </c>
      <c r="H59" s="2" t="inlineStr">
        <is>
          <t>Basic</t>
        </is>
      </c>
      <c r="I59" s="2" t="inlineStr">
        <is>
          <t>Self-study</t>
        </is>
      </c>
      <c r="J59" s="2" t="inlineStr">
        <is>
          <t>CPE Desk, Firm Name</t>
        </is>
      </c>
      <c r="K59" s="2" t="inlineStr">
        <is>
          <t>29-Oct-2026</t>
        </is>
      </c>
    </row>
    <row r="60">
      <c r="A60" s="2" t="inlineStr">
        <is>
          <t>CERT-2026-058</t>
        </is>
      </c>
      <c r="B60" s="2" t="inlineStr">
        <is>
          <t>Participant – Clara's Session</t>
        </is>
      </c>
      <c r="C60" s="2" t="inlineStr">
        <is>
          <t>Deep Dive into Cybersecurity Risk</t>
        </is>
      </c>
      <c r="D60" s="2" t="inlineStr">
        <is>
          <t>Clara Singh</t>
        </is>
      </c>
      <c r="E60" s="2" t="inlineStr">
        <is>
          <t>24-Sep-2026</t>
        </is>
      </c>
      <c r="F60" s="2" t="n">
        <v>3</v>
      </c>
      <c r="G60" s="2" t="inlineStr">
        <is>
          <t>Taxation</t>
        </is>
      </c>
      <c r="H60" s="2" t="inlineStr">
        <is>
          <t>Basic</t>
        </is>
      </c>
      <c r="I60" s="2" t="inlineStr">
        <is>
          <t>Self-study</t>
        </is>
      </c>
      <c r="J60" s="2" t="inlineStr">
        <is>
          <t>CPE Desk, Firm Name</t>
        </is>
      </c>
      <c r="K60" s="2" t="inlineStr">
        <is>
          <t>29-Oct-2026</t>
        </is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35" t="inlineStr">
        <is>
          <t>CPE DESK – EMAIL TEMPLATES</t>
        </is>
      </c>
    </row>
    <row r="2">
      <c r="A2" s="36" t="inlineStr">
        <is>
          <t>1. MISSING INFORMATION</t>
        </is>
      </c>
    </row>
    <row r="3" ht="60" customHeight="1">
      <c r="A3" s="37" t="inlineStr">
        <is>
          <t>Subject</t>
        </is>
      </c>
      <c r="B3" s="38" t="inlineStr">
        <is>
          <t>CPE Request [Request ID] – Additional Information Required</t>
        </is>
      </c>
    </row>
    <row r="4" ht="196" customHeight="1">
      <c r="A4" s="37" t="inlineStr">
        <is>
          <t>Body</t>
        </is>
      </c>
      <c r="B4" s="38" t="inlineStr">
        <is>
          <t>Dear [Instructor Name],
Thank you for submitting [Course Title] (Request ID: [Request ID]) on [Submitted Date].
During our review, we identified the following items that require clarification or completion before we can process your CPE credit request:
  • [List missing items, e.g., Field of Study not specified]
  • [Learning objectives provided: X; minimum required: Y]
Please respond with the updated information by [SLA Due Date] to avoid delays.
Regards,
CPE Desk | [Reviewer Name]
[Firm Name]</t>
        </is>
      </c>
    </row>
    <row r="5">
      <c r="A5" s="36" t="inlineStr">
        <is>
          <t>2. APPROVAL NOTICE</t>
        </is>
      </c>
    </row>
    <row r="6" ht="60" customHeight="1">
      <c r="A6" s="37" t="inlineStr">
        <is>
          <t>Subject</t>
        </is>
      </c>
      <c r="B6" s="38" t="inlineStr">
        <is>
          <t>CPE Credits Approved – [Course Title] ([Request ID])</t>
        </is>
      </c>
    </row>
    <row r="7" ht="210" customHeight="1">
      <c r="A7" s="37" t="inlineStr">
        <is>
          <t>Body</t>
        </is>
      </c>
      <c r="B7" s="38" t="inlineStr">
        <is>
          <t>Dear [Instructor Name],
We are pleased to confirm that your CPE submission has been reviewed and approved.
  Course Title : [Course Title]
  Request ID   : [Request ID]
  Credits      : [Credits Earned]
  Field of Study: [Field of Study]
  Program Level: [Program Level]
Certificates will be distributed to participants within 5 business days. Please retain this notice for your records.
Regards,
CPE Desk | [Reviewer Name]
[Firm Name]</t>
        </is>
      </c>
    </row>
    <row r="8">
      <c r="A8" s="36" t="inlineStr">
        <is>
          <t>3. CORRECTION REQUEST</t>
        </is>
      </c>
    </row>
    <row r="9" ht="60" customHeight="1">
      <c r="A9" s="37" t="inlineStr">
        <is>
          <t>Subject</t>
        </is>
      </c>
      <c r="B9" s="38" t="inlineStr">
        <is>
          <t>CPE Request [Request ID] – Correction Required</t>
        </is>
      </c>
    </row>
    <row r="10" ht="196" customHeight="1">
      <c r="A10" s="37" t="inlineStr">
        <is>
          <t>Body</t>
        </is>
      </c>
      <c r="B10" s="38" t="inlineStr">
        <is>
          <t>Dear [Instructor Name],
We have reviewed your CPE submission for [Course Title] (Request ID: [Request ID]).
The following corrections are needed before we can approve this request:
  • [Specific correction, e.g., Increase learning objectives from X to Y]
  • [Specific correction, e.g., Add attendance verification records]
Please resubmit the corrected materials by [SLA Due Date]. If you need assistance, please contact us at cpe-desk@firm.com.
Regards,
CPE Desk | [Reviewer Name]
[Firm Name]</t>
        </is>
      </c>
    </row>
    <row r="11">
      <c r="A11" s="36" t="inlineStr">
        <is>
          <t>4. DELAY UPDATE</t>
        </is>
      </c>
    </row>
    <row r="12" ht="60" customHeight="1">
      <c r="A12" s="37" t="inlineStr">
        <is>
          <t>Subject</t>
        </is>
      </c>
      <c r="B12" s="38" t="inlineStr">
        <is>
          <t>CPE Request [Request ID] – Processing Update</t>
        </is>
      </c>
    </row>
    <row r="13" ht="154" customHeight="1">
      <c r="A13" s="37" t="inlineStr">
        <is>
          <t>Body</t>
        </is>
      </c>
      <c r="B13" s="38" t="inlineStr">
        <is>
          <t>Dear [Instructor Name],
We wanted to provide you with an update on your CPE request for [Course Title] (Request ID: [Request ID]).
Your submission is currently under review. Due to [reason for delay], we anticipate completing our review by [new estimated date]. We apologise for any inconvenience this may cause.
If you have any urgent concerns, please reply to this email or call [phone number].
Regards,
CPE Desk | [Reviewer Name]
[Firm Name]</t>
        </is>
      </c>
    </row>
    <row r="14">
      <c r="A14" s="36" t="inlineStr">
        <is>
          <t>5. COMPLAINT REPLY</t>
        </is>
      </c>
    </row>
    <row r="15" ht="60" customHeight="1">
      <c r="A15" s="37" t="inlineStr">
        <is>
          <t>Subject</t>
        </is>
      </c>
      <c r="B15" s="38" t="inlineStr">
        <is>
          <t>RE: Your Concern Regarding CPE Request [Request ID]</t>
        </is>
      </c>
    </row>
    <row r="16" ht="182" customHeight="1">
      <c r="A16" s="37" t="inlineStr">
        <is>
          <t>Body</t>
        </is>
      </c>
      <c r="B16" s="38" t="inlineStr">
        <is>
          <t>Dear [Learner/Instructor Name],
Thank you for bringing your concern to our attention. We take all feedback seriously.
We have reviewed Request ID [Request ID] and understand your frustration regarding [brief description of the complaint].
After investigation, we have determined that [explanation/resolution]. [If applicable: We have made the necessary adjustments and the corrected record/certificate will be issued by [date].]
Please do not hesitate to contact us if you have any further questions.
Regards,
CPE Desk | Senior Reviewer
[Firm Name]</t>
        </is>
      </c>
    </row>
  </sheetData>
  <mergeCells count="6">
    <mergeCell ref="A2:B2"/>
    <mergeCell ref="A11:B11"/>
    <mergeCell ref="A5:B5"/>
    <mergeCell ref="A14:B14"/>
    <mergeCell ref="A1:B1"/>
    <mergeCell ref="A8:B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9" customWidth="1" min="3" max="3"/>
    <col width="27" customWidth="1" min="4" max="4"/>
    <col width="28" customWidth="1" min="5" max="5"/>
    <col width="25" customWidth="1" min="6" max="6"/>
    <col width="40" customWidth="1" min="7" max="7"/>
    <col width="17" customWidth="1" min="8" max="8"/>
    <col width="18" customWidth="1" min="9" max="9"/>
    <col width="13" customWidth="1" min="10" max="10"/>
  </cols>
  <sheetData>
    <row r="1">
      <c r="A1" s="1" t="inlineStr">
        <is>
          <t>Test #</t>
        </is>
      </c>
      <c r="B1" s="1" t="inlineStr">
        <is>
          <t>Duration (min)</t>
        </is>
      </c>
      <c r="C1" s="1" t="inlineStr">
        <is>
          <t>Delivery Method</t>
        </is>
      </c>
      <c r="D1" s="1" t="inlineStr">
        <is>
          <t>Expected Credits (Half)</t>
        </is>
      </c>
      <c r="E1" s="1" t="inlineStr">
        <is>
          <t>Expected Credits (Fifth)</t>
        </is>
      </c>
      <c r="F1" s="1" t="inlineStr">
        <is>
          <t>Formula (Half)</t>
        </is>
      </c>
      <c r="G1" s="1" t="inlineStr">
        <is>
          <t>Formula (Fifth)</t>
        </is>
      </c>
      <c r="H1" s="1" t="inlineStr">
        <is>
          <t>Actual (Half)</t>
        </is>
      </c>
      <c r="I1" s="1" t="inlineStr">
        <is>
          <t>Actual (Fifth)</t>
        </is>
      </c>
      <c r="J1" s="1" t="inlineStr">
        <is>
          <t>Pass/Fail</t>
        </is>
      </c>
    </row>
    <row r="2">
      <c r="A2" s="16" t="n">
        <v>1</v>
      </c>
      <c r="B2" s="16" t="n">
        <v>75</v>
      </c>
      <c r="C2" s="16" t="inlineStr">
        <is>
          <t>Group</t>
        </is>
      </c>
      <c r="D2" s="17" t="n">
        <v>1.5</v>
      </c>
      <c r="E2" s="17" t="n">
        <v>1.4</v>
      </c>
      <c r="F2" s="16" t="inlineStr">
        <is>
          <t>FLOOR(75/50,0.5)=1.5</t>
        </is>
      </c>
      <c r="G2" s="16" t="inlineStr">
        <is>
          <t>ROUNDDOWN(75/50*5,0)/5=1.4</t>
        </is>
      </c>
      <c r="H2" s="17" t="n">
        <v>1.5</v>
      </c>
      <c r="I2" s="17" t="n">
        <v>1.4</v>
      </c>
      <c r="J2" s="39" t="inlineStr">
        <is>
          <t>PASS</t>
        </is>
      </c>
    </row>
    <row r="3">
      <c r="A3" s="16" t="n">
        <v>2</v>
      </c>
      <c r="B3" s="16" t="n">
        <v>140</v>
      </c>
      <c r="C3" s="16" t="inlineStr">
        <is>
          <t>Group</t>
        </is>
      </c>
      <c r="D3" s="17" t="n">
        <v>2.5</v>
      </c>
      <c r="E3" s="17" t="n">
        <v>2.8</v>
      </c>
      <c r="F3" s="16" t="inlineStr">
        <is>
          <t>FLOOR(140/50,0.5)=2.5</t>
        </is>
      </c>
      <c r="G3" s="16" t="inlineStr">
        <is>
          <t>ROUNDDOWN(140/50*5,0)/5=2.8</t>
        </is>
      </c>
      <c r="H3" s="17" t="n">
        <v>2.5</v>
      </c>
      <c r="I3" s="17" t="n">
        <v>2.8</v>
      </c>
      <c r="J3" s="39" t="inlineStr">
        <is>
          <t>PASS</t>
        </is>
      </c>
    </row>
    <row r="4">
      <c r="A4" s="16" t="n">
        <v>3</v>
      </c>
      <c r="B4" s="16" t="n">
        <v>60</v>
      </c>
      <c r="C4" s="16" t="inlineStr">
        <is>
          <t>Group</t>
        </is>
      </c>
      <c r="D4" s="17" t="n">
        <v>1</v>
      </c>
      <c r="E4" s="17" t="n">
        <v>1.2</v>
      </c>
      <c r="F4" s="16" t="inlineStr">
        <is>
          <t>FLOOR(60/50,0.5)=1.0</t>
        </is>
      </c>
      <c r="G4" s="16" t="inlineStr">
        <is>
          <t>ROUNDDOWN(60/50*5,0)/5=1.2</t>
        </is>
      </c>
      <c r="H4" s="17" t="n">
        <v>1</v>
      </c>
      <c r="I4" s="17" t="n">
        <v>1.2</v>
      </c>
      <c r="J4" s="39" t="inlineStr">
        <is>
          <t>PASS</t>
        </is>
      </c>
    </row>
    <row r="5">
      <c r="A5" s="16" t="n">
        <v>4</v>
      </c>
      <c r="B5" s="16" t="n">
        <v>49</v>
      </c>
      <c r="C5" s="16" t="inlineStr">
        <is>
          <t>Group</t>
        </is>
      </c>
      <c r="D5" s="17" t="n">
        <v>0.5</v>
      </c>
      <c r="E5" s="17" t="n">
        <v>0</v>
      </c>
      <c r="F5" s="16" t="inlineStr">
        <is>
          <t>FLOOR(49/50,0.5)=0.5</t>
        </is>
      </c>
      <c r="G5" s="16" t="inlineStr">
        <is>
          <t>IF&lt;50 -&gt; 0 (fifth-credit needs &gt;=50)</t>
        </is>
      </c>
      <c r="H5" s="17" t="n">
        <v>0.5</v>
      </c>
      <c r="I5" s="17" t="n">
        <v>0</v>
      </c>
      <c r="J5" s="39" t="inlineStr">
        <is>
          <t>PASS</t>
        </is>
      </c>
    </row>
    <row r="6">
      <c r="A6" s="16" t="n">
        <v>5</v>
      </c>
      <c r="B6" s="16" t="n">
        <v>20</v>
      </c>
      <c r="C6" s="16" t="inlineStr">
        <is>
          <t>Group</t>
        </is>
      </c>
      <c r="D6" s="17" t="n">
        <v>0</v>
      </c>
      <c r="E6" s="17" t="n">
        <v>0</v>
      </c>
      <c r="F6" s="16" t="inlineStr">
        <is>
          <t>IF&lt;25 -&gt; 0; FLAG</t>
        </is>
      </c>
      <c r="G6" s="16" t="inlineStr">
        <is>
          <t>IF&lt;50 -&gt; 0; FLAG</t>
        </is>
      </c>
      <c r="H6" s="17" t="n">
        <v>0</v>
      </c>
      <c r="I6" s="17" t="n">
        <v>0</v>
      </c>
      <c r="J6" s="39" t="inlineStr">
        <is>
          <t>PASS</t>
        </is>
      </c>
    </row>
    <row r="7">
      <c r="A7" s="16" t="n">
        <v>6</v>
      </c>
      <c r="B7" s="16" t="n">
        <v>100</v>
      </c>
      <c r="C7" s="16" t="inlineStr">
        <is>
          <t>Group</t>
        </is>
      </c>
      <c r="D7" s="17" t="n">
        <v>2</v>
      </c>
      <c r="E7" s="17" t="n">
        <v>2</v>
      </c>
      <c r="F7" s="16" t="inlineStr">
        <is>
          <t>FLOOR(100/50,0.5)=2.0</t>
        </is>
      </c>
      <c r="G7" s="16" t="inlineStr">
        <is>
          <t>ROUNDDOWN(100/50*5,0)/5=2.0</t>
        </is>
      </c>
      <c r="H7" s="17" t="n">
        <v>2</v>
      </c>
      <c r="I7" s="17" t="n">
        <v>2</v>
      </c>
      <c r="J7" s="39" t="inlineStr">
        <is>
          <t>PASS</t>
        </is>
      </c>
    </row>
    <row r="8">
      <c r="A8" s="16" t="n">
        <v>7</v>
      </c>
      <c r="B8" s="16" t="n">
        <v>25</v>
      </c>
      <c r="C8" s="16" t="inlineStr">
        <is>
          <t>Group</t>
        </is>
      </c>
      <c r="D8" s="17" t="n">
        <v>0.5</v>
      </c>
      <c r="E8" s="17" t="n">
        <v>0</v>
      </c>
      <c r="F8" s="16" t="inlineStr">
        <is>
          <t>FLOOR(25/50,0.5)=0.5</t>
        </is>
      </c>
      <c r="G8" s="16" t="inlineStr">
        <is>
          <t>IF&lt;50 -&gt; 0</t>
        </is>
      </c>
      <c r="H8" s="17" t="n">
        <v>0.5</v>
      </c>
      <c r="I8" s="17" t="n">
        <v>0</v>
      </c>
      <c r="J8" s="39" t="inlineStr">
        <is>
          <t>PASS</t>
        </is>
      </c>
    </row>
    <row r="9">
      <c r="A9" s="16" t="n">
        <v>8</v>
      </c>
      <c r="B9" s="16" t="n">
        <v>50</v>
      </c>
      <c r="C9" s="16" t="inlineStr">
        <is>
          <t>Self-study</t>
        </is>
      </c>
      <c r="D9" s="17" t="n">
        <v>1</v>
      </c>
      <c r="E9" s="17" t="n">
        <v>1</v>
      </c>
      <c r="F9" s="16" t="inlineStr">
        <is>
          <t>FLOOR(50/50,0.5)=1.0</t>
        </is>
      </c>
      <c r="G9" s="16" t="inlineStr">
        <is>
          <t>ROUNDDOWN(50/50*5,0)/5=1.0</t>
        </is>
      </c>
      <c r="H9" s="17" t="n">
        <v>1</v>
      </c>
      <c r="I9" s="17" t="n">
        <v>1</v>
      </c>
      <c r="J9" s="39" t="inlineStr">
        <is>
          <t>PASS</t>
        </is>
      </c>
    </row>
    <row r="10">
      <c r="A10" s="16" t="n">
        <v>9</v>
      </c>
      <c r="B10" s="16" t="n">
        <v>150</v>
      </c>
      <c r="C10" s="16" t="inlineStr">
        <is>
          <t>Group</t>
        </is>
      </c>
      <c r="D10" s="17" t="n">
        <v>3</v>
      </c>
      <c r="E10" s="17" t="n">
        <v>3</v>
      </c>
      <c r="F10" s="16" t="inlineStr">
        <is>
          <t>FLOOR(150/50,0.5)=3.0</t>
        </is>
      </c>
      <c r="G10" s="16" t="inlineStr">
        <is>
          <t>ROUNDDOWN(150/50*5,0)/5=3.0</t>
        </is>
      </c>
      <c r="H10" s="17" t="n">
        <v>3</v>
      </c>
      <c r="I10" s="17" t="n">
        <v>3</v>
      </c>
      <c r="J10" s="39" t="inlineStr">
        <is>
          <t>PASS</t>
        </is>
      </c>
    </row>
    <row r="11">
      <c r="A11" s="16" t="n">
        <v>10</v>
      </c>
      <c r="B11" s="16" t="n">
        <v>200</v>
      </c>
      <c r="C11" s="16" t="inlineStr">
        <is>
          <t>Group</t>
        </is>
      </c>
      <c r="D11" s="17" t="n">
        <v>4</v>
      </c>
      <c r="E11" s="17" t="n">
        <v>4</v>
      </c>
      <c r="F11" s="16" t="inlineStr">
        <is>
          <t>FLOOR(200/50,0.5)=4.0</t>
        </is>
      </c>
      <c r="G11" s="16" t="inlineStr">
        <is>
          <t>ROUNDDOWN(200/50*5,0)/5=4.0</t>
        </is>
      </c>
      <c r="H11" s="17" t="n">
        <v>4</v>
      </c>
      <c r="I11" s="17" t="n">
        <v>4</v>
      </c>
      <c r="J11" s="39" t="inlineStr">
        <is>
          <t>PASS</t>
        </is>
      </c>
    </row>
    <row r="12"/>
    <row r="13" ht="30" customHeight="1">
      <c r="A13" s="40" t="inlineStr">
        <is>
          <t>Notes: Fifth-credit formula requires min 50 min (no credit below 50 min). Half-credit formula requires min 25 min. Test case 4 (49 min): half-credit = 0.5 under revised NASBA standards; fifth-credit = 0 (&lt; 50 min threshold).</t>
        </is>
      </c>
    </row>
  </sheetData>
  <mergeCells count="1">
    <mergeCell ref="A13:J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2" customHeight="1">
      <c r="A1" s="41" t="inlineStr">
        <is>
          <t>CPE ANALYST DESK – STANDARD OPERATING PROCEDURE</t>
        </is>
      </c>
    </row>
    <row r="2">
      <c r="A2" s="42" t="inlineStr">
        <is>
          <t>Version 1.0 | Effective: November 2026 | Owner: CPE Desk</t>
        </is>
      </c>
    </row>
    <row r="3">
      <c r="A3" t="inlineStr"/>
    </row>
    <row r="4" ht="22" customHeight="1">
      <c r="A4" s="36" t="inlineStr">
        <is>
          <t>1. PURPOSE</t>
        </is>
      </c>
    </row>
    <row r="5" ht="18" customHeight="1">
      <c r="A5" s="43" t="inlineStr">
        <is>
          <t>To ensure all Continuing Professional Education (CPE) credit requests are reviewed, calculated, recorded, and communicated within established SLAs and in accordance with NASBA-style standards.</t>
        </is>
      </c>
    </row>
    <row r="6">
      <c r="A6" t="inlineStr"/>
    </row>
    <row r="7" ht="22" customHeight="1">
      <c r="A7" s="36" t="inlineStr">
        <is>
          <t>2. SCOPE</t>
        </is>
      </c>
    </row>
    <row r="8" ht="18" customHeight="1">
      <c r="A8" s="43" t="inlineStr">
        <is>
          <t>All CPE submissions received from instructors, training coordinators, and third-party providers for webinars, classroom sessions, and e-learning programs.</t>
        </is>
      </c>
    </row>
    <row r="9">
      <c r="A9" t="inlineStr"/>
    </row>
    <row r="10" ht="22" customHeight="1">
      <c r="A10" s="36" t="inlineStr">
        <is>
          <t>3. ROLES &amp; RESPONSIBILITIES</t>
        </is>
      </c>
    </row>
    <row r="11" ht="18" customHeight="1">
      <c r="A11" s="43" t="inlineStr">
        <is>
          <t>CPE Analyst     | Primary reviewer; completes initial review within 5 business days.</t>
        </is>
      </c>
    </row>
    <row r="12" ht="18" customHeight="1">
      <c r="A12" s="43" t="inlineStr">
        <is>
          <t>Senior Reviewer | Handles escalations, complaints, and edge cases.</t>
        </is>
      </c>
    </row>
    <row r="13" ht="18" customHeight="1">
      <c r="A13" s="43" t="inlineStr">
        <is>
          <t>Instructor/Provider | Submits requests; responds to correction notices.</t>
        </is>
      </c>
    </row>
    <row r="14">
      <c r="A14" t="inlineStr"/>
    </row>
    <row r="15" ht="22" customHeight="1">
      <c r="A15" s="36" t="inlineStr">
        <is>
          <t>4. PROCESS STEPS</t>
        </is>
      </c>
    </row>
    <row r="16" ht="18" customHeight="1">
      <c r="A16" s="43" t="inlineStr">
        <is>
          <t>Step 1 – Intake        : Log submission in the Requests sheet with all required fields.</t>
        </is>
      </c>
    </row>
    <row r="17" ht="18" customHeight="1">
      <c r="A17" s="43" t="inlineStr">
        <is>
          <t>Step 2 – Completeness  : Confirm Field of Study, Program Level, Delivery Method, Prerequisites are populated.</t>
        </is>
      </c>
    </row>
    <row r="18" ht="18" customHeight="1">
      <c r="A18" s="43" t="inlineStr">
        <is>
          <t>Step 3 – Objectives    : Verify learning objectives ≥ ROUNDUP(duration/50×3, 0).</t>
        </is>
      </c>
    </row>
    <row r="19" ht="18" customHeight="1">
      <c r="A19" s="43" t="inlineStr">
        <is>
          <t>Step 4 – Attendance    : For Group programs, confirm attendance checks ≥ ROUNDUP(duration/50×3, 0).</t>
        </is>
      </c>
    </row>
    <row r="20" ht="18" customHeight="1">
      <c r="A20" s="43" t="inlineStr">
        <is>
          <t>Step 5 – Review Qs     : For Self-study, confirm review questions ≥ credits × 3.</t>
        </is>
      </c>
    </row>
    <row r="21" ht="18" customHeight="1">
      <c r="A21" s="43" t="inlineStr">
        <is>
          <t>Step 6 – Credit Calc   : Use Credit Calculator sheet; apply half-credit rounding for Group, fifth-credit for Self-study if applicable.</t>
        </is>
      </c>
    </row>
    <row r="22" ht="18" customHeight="1">
      <c r="A22" s="43" t="inlineStr">
        <is>
          <t>Step 7 – Decision      : Record Approved / Needs Correction / Escalate in Review sheet.</t>
        </is>
      </c>
    </row>
    <row r="23" ht="18" customHeight="1">
      <c r="A23" s="43" t="inlineStr">
        <is>
          <t>Step 8 – Communication : Send appropriate email template within SLA.</t>
        </is>
      </c>
    </row>
    <row r="24" ht="18" customHeight="1">
      <c r="A24" s="43" t="inlineStr">
        <is>
          <t>Step 9 – Certificates  : Export Certificates sheet; run Word mail merge for Approved records.</t>
        </is>
      </c>
    </row>
    <row r="25" ht="18" customHeight="1">
      <c r="A25" s="43" t="inlineStr">
        <is>
          <t>Step 10 – Dashboard    : Refresh Dashboard pivot weekly; report KPIs to manager.</t>
        </is>
      </c>
    </row>
    <row r="26">
      <c r="A26" t="inlineStr"/>
    </row>
    <row r="27" ht="22" customHeight="1">
      <c r="A27" s="36" t="inlineStr">
        <is>
          <t>5. SLA TARGETS</t>
        </is>
      </c>
    </row>
    <row r="28" ht="18" customHeight="1">
      <c r="A28" s="43" t="inlineStr">
        <is>
          <t>Initial Review       : 5 business days from submission.</t>
        </is>
      </c>
    </row>
    <row r="29" ht="18" customHeight="1">
      <c r="A29" s="43" t="inlineStr">
        <is>
          <t>Correction Response  : 3 business days after instructor reply.</t>
        </is>
      </c>
    </row>
    <row r="30" ht="18" customHeight="1">
      <c r="A30" s="43" t="inlineStr">
        <is>
          <t>Certificate Issuance : 5 business days after approval.</t>
        </is>
      </c>
    </row>
    <row r="31" ht="18" customHeight="1">
      <c r="A31" s="43" t="inlineStr">
        <is>
          <t>Escalation Resolution: 10 business days.</t>
        </is>
      </c>
    </row>
    <row r="32">
      <c r="A32" t="inlineStr"/>
    </row>
    <row r="33" ht="22" customHeight="1">
      <c r="A33" s="36" t="inlineStr">
        <is>
          <t>6. DECISION CRITERIA (NASBA-STYLE)</t>
        </is>
      </c>
    </row>
    <row r="34" ht="18" customHeight="1">
      <c r="A34" s="43" t="inlineStr">
        <is>
          <t>Approved         : All checks pass (objectives, attendance, FOS, level, review Qs).</t>
        </is>
      </c>
    </row>
    <row r="35" ht="18" customHeight="1">
      <c r="A35" s="43" t="inlineStr">
        <is>
          <t>Needs Correction : One or more fixable issues (too few objectives, missing attendance).</t>
        </is>
      </c>
    </row>
    <row r="36" ht="18" customHeight="1">
      <c r="A36" s="43" t="inlineStr">
        <is>
          <t>Escalate         : Judgment-call issues (unclear FOS, duration discrepancy, complaints).</t>
        </is>
      </c>
    </row>
    <row r="37">
      <c r="A37" t="inlineStr"/>
    </row>
    <row r="38" ht="22" customHeight="1">
      <c r="A38" s="36" t="inlineStr">
        <is>
          <t>7. KEY RULES (see Rules sheet for editable parameters)</t>
        </is>
      </c>
    </row>
    <row r="39" ht="18" customHeight="1">
      <c r="A39" s="43" t="inlineStr">
        <is>
          <t>• Min learning objectives : 3 per 50 minutes of content.</t>
        </is>
      </c>
    </row>
    <row r="40" ht="18" customHeight="1">
      <c r="A40" s="43" t="inlineStr">
        <is>
          <t>• Min attendance checks   : 3 per 50-minute credit hour (Group, technology-based).</t>
        </is>
      </c>
    </row>
    <row r="41" ht="18" customHeight="1">
      <c r="A41" s="43" t="inlineStr">
        <is>
          <t>• Min review questions    : 3 per credit hour (Self-study) – verify vs. current NASBA standard.</t>
        </is>
      </c>
    </row>
    <row r="42" ht="18" customHeight="1">
      <c r="A42" s="43" t="inlineStr">
        <is>
          <t>• Credit rounding (Group) : FLOOR(min/50, 0.5) – half-credit increments.</t>
        </is>
      </c>
    </row>
    <row r="43" ht="18" customHeight="1">
      <c r="A43" s="43" t="inlineStr">
        <is>
          <t>• Min duration for credit : 25 minutes (half-credit) or 50 minutes (fifth-credit).</t>
        </is>
      </c>
    </row>
    <row r="44">
      <c r="A44" t="inlineStr"/>
    </row>
    <row r="45" ht="22" customHeight="1">
      <c r="A45" s="36" t="inlineStr">
        <is>
          <t>8. ESCALATION PATH</t>
        </is>
      </c>
    </row>
    <row r="46" ht="18" customHeight="1">
      <c r="A46" s="43" t="inlineStr">
        <is>
          <t>CPE Analyst → Senior Reviewer → CPE Committee (if unresolved within 10 days).</t>
        </is>
      </c>
    </row>
    <row r="47">
      <c r="A47" t="inlineStr"/>
    </row>
    <row r="48" ht="22" customHeight="1">
      <c r="A48" s="36" t="inlineStr">
        <is>
          <t>9. RECORDS RETENTION</t>
        </is>
      </c>
    </row>
    <row r="49" ht="18" customHeight="1">
      <c r="A49" s="43" t="inlineStr">
        <is>
          <t>All approved submissions, certificates, and correspondence must be retained for 7 years per firm policy.</t>
        </is>
      </c>
    </row>
    <row r="50">
      <c r="A50" t="inlineStr"/>
    </row>
    <row r="51" ht="22" customHeight="1">
      <c r="A51" s="36" t="inlineStr">
        <is>
          <t>10. REVISION HISTORY</t>
        </is>
      </c>
    </row>
    <row r="52" ht="18" customHeight="1">
      <c r="A52" s="43" t="inlineStr">
        <is>
          <t>v1.0  Nov 2026  Initial release.</t>
        </is>
      </c>
    </row>
  </sheetData>
  <mergeCells count="52">
    <mergeCell ref="A9:H9"/>
    <mergeCell ref="A48:H48"/>
    <mergeCell ref="A30:H30"/>
    <mergeCell ref="A39:H39"/>
    <mergeCell ref="A15:H15"/>
    <mergeCell ref="A24:H24"/>
    <mergeCell ref="A51:H51"/>
    <mergeCell ref="A36:H36"/>
    <mergeCell ref="A11:H11"/>
    <mergeCell ref="A49:H49"/>
    <mergeCell ref="A1:H1"/>
    <mergeCell ref="A45:H45"/>
    <mergeCell ref="A6:H6"/>
    <mergeCell ref="A7:H7"/>
    <mergeCell ref="A25:H25"/>
    <mergeCell ref="A16:H16"/>
    <mergeCell ref="A41:H41"/>
    <mergeCell ref="A37:H37"/>
    <mergeCell ref="A46:H46"/>
    <mergeCell ref="A27:H27"/>
    <mergeCell ref="A12:H12"/>
    <mergeCell ref="A18:H18"/>
    <mergeCell ref="A50:H50"/>
    <mergeCell ref="A3:H3"/>
    <mergeCell ref="A21:H21"/>
    <mergeCell ref="A26:H26"/>
    <mergeCell ref="A2:H2"/>
    <mergeCell ref="A42:H42"/>
    <mergeCell ref="A33:H33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29:H29"/>
    <mergeCell ref="A35:H35"/>
    <mergeCell ref="A20:H20"/>
    <mergeCell ref="A38:H38"/>
    <mergeCell ref="A43:H43"/>
    <mergeCell ref="A52:H52"/>
    <mergeCell ref="A10:H10"/>
    <mergeCell ref="A28:H28"/>
    <mergeCell ref="A13:H13"/>
    <mergeCell ref="A19:H19"/>
    <mergeCell ref="A44:H44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2026-10-28T18:34:54Z</dcterms:created>
  <dcterms:modified xmlns:dcterms="http://purl.org/dc/terms/" xmlns:xsi="http://www.w3.org/2001/XMLSchema-instance" xsi:type="dcterms:W3CDTF">2026-10-28T18:34:55Z</dcterms:modified>
</cp:coreProperties>
</file>